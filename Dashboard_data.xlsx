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4.xml" ContentType="application/vnd.openxmlformats-officedocument.spreadsheetml.comments+xml"/>
  <Override PartName="/xl/charts/chart5.xml" ContentType="application/vnd.openxmlformats-officedocument.drawingml.chart+xml"/>
  <Override PartName="/xl/theme/themeOverride1.xml" ContentType="application/vnd.openxmlformats-officedocument.themeOverrid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defaultThemeVersion="166925"/>
  <mc:AlternateContent xmlns:mc="http://schemas.openxmlformats.org/markup-compatibility/2006">
    <mc:Choice Requires="x15">
      <x15ac:absPath xmlns:x15ac="http://schemas.microsoft.com/office/spreadsheetml/2010/11/ac" url="Z:\17 Centres of Excellence\HTA &amp; GVD\EMEA HTA submission experience\"/>
    </mc:Choice>
  </mc:AlternateContent>
  <xr:revisionPtr revIDLastSave="0" documentId="8_{9E6412B2-A573-4CD9-9777-07745390CE1E}" xr6:coauthVersionLast="45" xr6:coauthVersionMax="45" xr10:uidLastSave="{00000000-0000-0000-0000-000000000000}"/>
  <bookViews>
    <workbookView xWindow="-108" yWindow="-108" windowWidth="23256" windowHeight="12576" tabRatio="778" activeTab="2" xr2:uid="{F1C5137E-55D0-4C78-8018-CD4A49C8901E}"/>
  </bookViews>
  <sheets>
    <sheet name="Local HTA submissions" sheetId="1" r:id="rId1"/>
    <sheet name="HTA scientific advice" sheetId="3" r:id="rId2"/>
    <sheet name="GVDs" sheetId="2" r:id="rId3"/>
    <sheet name="Local HTA Pivot Table" sheetId="9" r:id="rId4"/>
    <sheet name="HTA scientific advice Pivot" sheetId="14" r:id="rId5"/>
    <sheet name="GVDs Pivot Table" sheetId="15" r:id="rId6"/>
    <sheet name="By year" sheetId="10" r:id="rId7"/>
    <sheet name="By therapy area" sheetId="13" r:id="rId8"/>
  </sheets>
  <definedNames>
    <definedName name="_xlnm._FilterDatabase" localSheetId="0" hidden="1">'Local HTA submissions'!$B:$B</definedName>
    <definedName name="_xlnm.Extract" localSheetId="0">'Local HTA submissions'!#REF!</definedName>
  </definedNames>
  <calcPr calcId="191029"/>
  <pivotCaches>
    <pivotCache cacheId="3" r:id="rId9"/>
    <pivotCache cacheId="4" r:id="rId10"/>
    <pivotCache cacheId="5"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49" i="13" l="1"/>
  <c r="I148" i="13"/>
  <c r="I147" i="13"/>
  <c r="I146" i="13"/>
  <c r="I145" i="13"/>
  <c r="H208" i="13" l="1"/>
  <c r="G208" i="13"/>
  <c r="F208" i="13"/>
  <c r="E208" i="13"/>
  <c r="D208" i="13"/>
  <c r="C208" i="13"/>
  <c r="B208" i="13"/>
  <c r="A208" i="13"/>
  <c r="G207" i="13"/>
  <c r="F207" i="13"/>
  <c r="A207" i="13"/>
  <c r="B207" i="13" s="1"/>
  <c r="G206" i="13"/>
  <c r="F206" i="13"/>
  <c r="A206" i="13"/>
  <c r="C206" i="13" s="1"/>
  <c r="G205" i="13"/>
  <c r="F205" i="13"/>
  <c r="A205" i="13"/>
  <c r="A204" i="13"/>
  <c r="A203" i="13"/>
  <c r="F202" i="13"/>
  <c r="A202" i="13"/>
  <c r="A153" i="13"/>
  <c r="A152" i="13"/>
  <c r="G151" i="13"/>
  <c r="F151" i="13"/>
  <c r="E151" i="13"/>
  <c r="D151" i="13"/>
  <c r="A151" i="13"/>
  <c r="B151" i="13" s="1"/>
  <c r="I106" i="13"/>
  <c r="A106" i="13"/>
  <c r="J105" i="13"/>
  <c r="I105" i="13"/>
  <c r="H105" i="13"/>
  <c r="G105" i="13"/>
  <c r="F105" i="13"/>
  <c r="D105" i="13"/>
  <c r="C105" i="13"/>
  <c r="A105" i="13"/>
  <c r="A104" i="13"/>
  <c r="J37" i="13"/>
  <c r="A37" i="13"/>
  <c r="P36" i="13"/>
  <c r="O36" i="13"/>
  <c r="N36" i="13"/>
  <c r="M36" i="13"/>
  <c r="L36" i="13"/>
  <c r="K36" i="13"/>
  <c r="J36" i="13"/>
  <c r="H36" i="13"/>
  <c r="G36" i="13"/>
  <c r="F36" i="13"/>
  <c r="E36" i="13"/>
  <c r="D36" i="13"/>
  <c r="C36" i="13"/>
  <c r="B36" i="13"/>
  <c r="A36" i="13"/>
  <c r="E105" i="13" s="1"/>
  <c r="P35" i="13"/>
  <c r="O35" i="13"/>
  <c r="N35" i="13"/>
  <c r="M35" i="13"/>
  <c r="L35" i="13"/>
  <c r="I35" i="13"/>
  <c r="H35" i="13"/>
  <c r="G35" i="13"/>
  <c r="F35" i="13"/>
  <c r="E35" i="13"/>
  <c r="D35" i="13"/>
  <c r="B35" i="13"/>
  <c r="A35" i="13"/>
  <c r="G104" i="13" s="1"/>
  <c r="A165" i="10"/>
  <c r="G164" i="10"/>
  <c r="D164" i="10"/>
  <c r="A164" i="10"/>
  <c r="H164" i="10" s="1"/>
  <c r="A163" i="10"/>
  <c r="H162" i="10"/>
  <c r="G162" i="10"/>
  <c r="C162" i="10"/>
  <c r="B162" i="10"/>
  <c r="A162" i="10"/>
  <c r="H161" i="10"/>
  <c r="C161" i="10"/>
  <c r="B161" i="10"/>
  <c r="A161" i="10"/>
  <c r="G161" i="10" s="1"/>
  <c r="H160" i="10"/>
  <c r="F160" i="10"/>
  <c r="C160" i="10"/>
  <c r="B160" i="10"/>
  <c r="A160" i="10"/>
  <c r="G159" i="10"/>
  <c r="F159" i="10"/>
  <c r="C159" i="10"/>
  <c r="B159" i="10"/>
  <c r="A159" i="10"/>
  <c r="G157" i="10"/>
  <c r="F157" i="10"/>
  <c r="C157" i="10"/>
  <c r="A157" i="10"/>
  <c r="F156" i="10"/>
  <c r="B156" i="10"/>
  <c r="A156" i="10"/>
  <c r="G156" i="10" s="1"/>
  <c r="G155" i="10"/>
  <c r="F155" i="10"/>
  <c r="B155" i="10"/>
  <c r="A155" i="10"/>
  <c r="G154" i="10"/>
  <c r="F154" i="10"/>
  <c r="B154" i="10"/>
  <c r="A154" i="10"/>
  <c r="G153" i="10"/>
  <c r="B153" i="10"/>
  <c r="A153" i="10"/>
  <c r="A152" i="10"/>
  <c r="F151" i="10"/>
  <c r="E151" i="10"/>
  <c r="B151" i="10"/>
  <c r="A151" i="10"/>
  <c r="A150" i="10"/>
  <c r="H148" i="10"/>
  <c r="E148" i="10"/>
  <c r="D148" i="10"/>
  <c r="C148" i="10"/>
  <c r="A148" i="10"/>
  <c r="A147" i="10"/>
  <c r="H146" i="10"/>
  <c r="G146" i="10"/>
  <c r="F146" i="10"/>
  <c r="E146" i="10"/>
  <c r="D146" i="10"/>
  <c r="C146" i="10"/>
  <c r="B146" i="10"/>
  <c r="I146" i="10" s="1"/>
  <c r="A146" i="10"/>
  <c r="A145" i="10"/>
  <c r="H144" i="10"/>
  <c r="G144" i="10"/>
  <c r="D144" i="10"/>
  <c r="A144" i="10"/>
  <c r="H143" i="10"/>
  <c r="F143" i="10"/>
  <c r="E143" i="10"/>
  <c r="C143" i="10"/>
  <c r="B143" i="10"/>
  <c r="A143" i="10"/>
  <c r="A142" i="10"/>
  <c r="H141" i="10"/>
  <c r="G141" i="10"/>
  <c r="E141" i="10"/>
  <c r="D141" i="10"/>
  <c r="C141" i="10"/>
  <c r="B141" i="10"/>
  <c r="A141" i="10"/>
  <c r="F141" i="10" s="1"/>
  <c r="A140" i="10"/>
  <c r="G139" i="10"/>
  <c r="E139" i="10"/>
  <c r="A139" i="10"/>
  <c r="H138" i="10"/>
  <c r="G138" i="10"/>
  <c r="F138" i="10"/>
  <c r="E138" i="10"/>
  <c r="D138" i="10"/>
  <c r="C138" i="10"/>
  <c r="B138" i="10"/>
  <c r="A138" i="10"/>
  <c r="H137" i="10"/>
  <c r="F137" i="10"/>
  <c r="E137" i="10"/>
  <c r="D137" i="10"/>
  <c r="A137" i="10"/>
  <c r="H136" i="10"/>
  <c r="F136" i="10"/>
  <c r="E136" i="10"/>
  <c r="D136" i="10"/>
  <c r="B136" i="10"/>
  <c r="A136" i="10"/>
  <c r="A100" i="10"/>
  <c r="A99" i="10"/>
  <c r="A98" i="10"/>
  <c r="H97" i="10"/>
  <c r="A97" i="10"/>
  <c r="H96" i="10"/>
  <c r="G96" i="10"/>
  <c r="E96" i="10"/>
  <c r="A96" i="10"/>
  <c r="H95" i="10"/>
  <c r="F95" i="10"/>
  <c r="E95" i="10"/>
  <c r="C95" i="10"/>
  <c r="A95" i="10"/>
  <c r="G94" i="10"/>
  <c r="F94" i="10"/>
  <c r="E94" i="10"/>
  <c r="C94" i="10"/>
  <c r="B94" i="10"/>
  <c r="A94" i="10"/>
  <c r="B66" i="10"/>
  <c r="J65" i="10"/>
  <c r="G65" i="10"/>
  <c r="F65" i="10"/>
  <c r="E65" i="10"/>
  <c r="D65" i="10"/>
  <c r="C65" i="10"/>
  <c r="A65" i="10"/>
  <c r="J64" i="10"/>
  <c r="I64" i="10"/>
  <c r="H64" i="10"/>
  <c r="G64" i="10"/>
  <c r="F64" i="10"/>
  <c r="E64" i="10"/>
  <c r="A64" i="10"/>
  <c r="J63" i="10"/>
  <c r="I63" i="10"/>
  <c r="G63" i="10"/>
  <c r="A63" i="10"/>
  <c r="J62" i="10"/>
  <c r="I62" i="10"/>
  <c r="A62" i="10"/>
  <c r="M1" i="2" a="1"/>
  <c r="M1" i="2" s="1"/>
  <c r="L1" i="2" a="1"/>
  <c r="L1" i="2" s="1"/>
  <c r="K1" i="2"/>
  <c r="K1" i="2" a="1"/>
  <c r="J1" i="2" a="1"/>
  <c r="O1" i="3" a="1"/>
  <c r="O1" i="3" s="1"/>
  <c r="N1" i="3" a="1"/>
  <c r="A103" i="10" s="1"/>
  <c r="M1" i="3" a="1"/>
  <c r="M1" i="3" s="1"/>
  <c r="L1" i="3" a="1"/>
  <c r="K1" i="3" a="1"/>
  <c r="K1" i="3" s="1"/>
  <c r="J1" i="3" a="1"/>
  <c r="J1" i="3" s="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AG1" i="1" s="1" a="1"/>
  <c r="H2" i="1"/>
  <c r="AJ1" i="1" a="1"/>
  <c r="AJ1" i="1" s="1"/>
  <c r="AI1" i="1"/>
  <c r="AI1" i="1" a="1"/>
  <c r="AH1" i="1"/>
  <c r="AH1" i="1" a="1"/>
  <c r="AF1" i="1" a="1"/>
  <c r="AF1" i="1" s="1"/>
  <c r="AE1" i="1" a="1"/>
  <c r="AE1" i="1" s="1"/>
  <c r="AD1" i="1"/>
  <c r="AD1" i="1" a="1"/>
  <c r="A7" i="13" s="1"/>
  <c r="AC1" i="1" a="1"/>
  <c r="AC1" i="1" s="1"/>
  <c r="AB1" i="1" a="1"/>
  <c r="AB1" i="1" s="1"/>
  <c r="AA1" i="1" a="1"/>
  <c r="A60" i="10" s="1"/>
  <c r="G103" i="10" l="1"/>
  <c r="E103" i="10"/>
  <c r="D103" i="10"/>
  <c r="C103" i="10"/>
  <c r="B103" i="10"/>
  <c r="I103" i="10" s="1"/>
  <c r="H103" i="10"/>
  <c r="F103" i="10"/>
  <c r="F76" i="13"/>
  <c r="I76" i="13"/>
  <c r="H76" i="13"/>
  <c r="D76" i="13"/>
  <c r="K76" i="13"/>
  <c r="J76" i="13"/>
  <c r="G76" i="13"/>
  <c r="E76" i="13"/>
  <c r="C76" i="13"/>
  <c r="B76" i="13"/>
  <c r="L76" i="13" s="1"/>
  <c r="P7" i="13"/>
  <c r="H7" i="13"/>
  <c r="L7" i="13"/>
  <c r="C7" i="13"/>
  <c r="I7" i="13"/>
  <c r="G7" i="13"/>
  <c r="M7" i="13"/>
  <c r="K7" i="13"/>
  <c r="J7" i="13"/>
  <c r="F7" i="13"/>
  <c r="E7" i="13"/>
  <c r="D7" i="13"/>
  <c r="O7" i="13"/>
  <c r="N7" i="13"/>
  <c r="B7" i="13"/>
  <c r="A16" i="10"/>
  <c r="A15" i="10"/>
  <c r="A14" i="10"/>
  <c r="A13" i="10"/>
  <c r="A12" i="10"/>
  <c r="A11" i="10"/>
  <c r="A10" i="10"/>
  <c r="A17" i="10"/>
  <c r="A9" i="10"/>
  <c r="A8" i="10"/>
  <c r="AG1" i="1"/>
  <c r="A7" i="10"/>
  <c r="A6" i="10"/>
  <c r="D60" i="10"/>
  <c r="E60" i="10"/>
  <c r="J60" i="10"/>
  <c r="I60" i="10"/>
  <c r="H60" i="10"/>
  <c r="G60" i="10"/>
  <c r="F60" i="10"/>
  <c r="C60" i="10"/>
  <c r="B60" i="10"/>
  <c r="K60" i="10"/>
  <c r="B100" i="10"/>
  <c r="E100" i="10"/>
  <c r="H142" i="10"/>
  <c r="E142" i="10"/>
  <c r="C147" i="10"/>
  <c r="H147" i="10"/>
  <c r="G147" i="10"/>
  <c r="E147" i="10"/>
  <c r="A55" i="10"/>
  <c r="A53" i="10"/>
  <c r="A51" i="10"/>
  <c r="A49" i="10"/>
  <c r="A58" i="10"/>
  <c r="AA1" i="1"/>
  <c r="A150" i="13"/>
  <c r="A149" i="13"/>
  <c r="A148" i="13"/>
  <c r="A147" i="13"/>
  <c r="A146" i="13"/>
  <c r="A145" i="13"/>
  <c r="A194" i="13"/>
  <c r="A193" i="13"/>
  <c r="A192" i="13"/>
  <c r="A199" i="13"/>
  <c r="A198" i="13"/>
  <c r="A195" i="13"/>
  <c r="A197" i="13"/>
  <c r="A201" i="13"/>
  <c r="A196" i="13"/>
  <c r="A200" i="13"/>
  <c r="A52" i="10"/>
  <c r="A61" i="10"/>
  <c r="C99" i="10"/>
  <c r="E99" i="10"/>
  <c r="C100" i="10"/>
  <c r="A106" i="10"/>
  <c r="B142" i="10"/>
  <c r="B147" i="10"/>
  <c r="D163" i="10"/>
  <c r="F163" i="10"/>
  <c r="E163" i="10"/>
  <c r="H163" i="10"/>
  <c r="G163" i="10"/>
  <c r="B163" i="10"/>
  <c r="L1" i="3"/>
  <c r="J1" i="2"/>
  <c r="D62" i="10"/>
  <c r="H62" i="10"/>
  <c r="K62" i="10"/>
  <c r="D98" i="10"/>
  <c r="E98" i="10"/>
  <c r="B99" i="10"/>
  <c r="D100" i="10"/>
  <c r="A105" i="10"/>
  <c r="I141" i="10"/>
  <c r="C142" i="10"/>
  <c r="D147" i="10"/>
  <c r="C163" i="10"/>
  <c r="A56" i="10"/>
  <c r="B62" i="10"/>
  <c r="H63" i="10"/>
  <c r="E63" i="10"/>
  <c r="K63" i="10"/>
  <c r="E97" i="10"/>
  <c r="D97" i="10"/>
  <c r="B98" i="10"/>
  <c r="D99" i="10"/>
  <c r="F100" i="10"/>
  <c r="A104" i="10"/>
  <c r="B140" i="10"/>
  <c r="G140" i="10"/>
  <c r="H140" i="10"/>
  <c r="D142" i="10"/>
  <c r="E145" i="10"/>
  <c r="B145" i="10"/>
  <c r="G145" i="10"/>
  <c r="D145" i="10"/>
  <c r="F147" i="10"/>
  <c r="G152" i="10"/>
  <c r="H152" i="10"/>
  <c r="D152" i="10"/>
  <c r="C152" i="10"/>
  <c r="E152" i="10"/>
  <c r="B152" i="10"/>
  <c r="A101" i="13"/>
  <c r="A93" i="13"/>
  <c r="A85" i="13"/>
  <c r="A77" i="13"/>
  <c r="A97" i="13"/>
  <c r="A90" i="13"/>
  <c r="A78" i="13"/>
  <c r="A99" i="13"/>
  <c r="A92" i="13"/>
  <c r="A80" i="13"/>
  <c r="A103" i="13"/>
  <c r="A91" i="13"/>
  <c r="A84" i="13"/>
  <c r="A96" i="13"/>
  <c r="A95" i="13"/>
  <c r="A87" i="13"/>
  <c r="A88" i="13"/>
  <c r="A79" i="13"/>
  <c r="A98" i="13"/>
  <c r="A89" i="13"/>
  <c r="A81" i="13"/>
  <c r="A100" i="13"/>
  <c r="A82" i="13"/>
  <c r="A83" i="13"/>
  <c r="A75" i="13"/>
  <c r="A102" i="13"/>
  <c r="A94" i="13"/>
  <c r="A74" i="13"/>
  <c r="A34" i="13"/>
  <c r="A30" i="13"/>
  <c r="A26" i="13"/>
  <c r="A22" i="13"/>
  <c r="A18" i="13"/>
  <c r="A86" i="13"/>
  <c r="A76" i="13"/>
  <c r="A17" i="13"/>
  <c r="A16" i="13"/>
  <c r="A15" i="13"/>
  <c r="A31" i="13"/>
  <c r="A24" i="13"/>
  <c r="A29" i="13"/>
  <c r="A14" i="13"/>
  <c r="A13" i="13"/>
  <c r="A12" i="13"/>
  <c r="A11" i="13"/>
  <c r="A33" i="13"/>
  <c r="A28" i="13"/>
  <c r="A6" i="13"/>
  <c r="A27" i="13"/>
  <c r="A10" i="13"/>
  <c r="A25" i="13"/>
  <c r="A5" i="13"/>
  <c r="A23" i="13"/>
  <c r="A9" i="13"/>
  <c r="A21" i="13"/>
  <c r="A20" i="13"/>
  <c r="A19" i="13"/>
  <c r="A8" i="13"/>
  <c r="A50" i="10"/>
  <c r="A57" i="10"/>
  <c r="C62" i="10"/>
  <c r="B63" i="10"/>
  <c r="F96" i="10"/>
  <c r="D96" i="10"/>
  <c r="B97" i="10"/>
  <c r="C98" i="10"/>
  <c r="F99" i="10"/>
  <c r="G100" i="10"/>
  <c r="H139" i="10"/>
  <c r="F139" i="10"/>
  <c r="C140" i="10"/>
  <c r="F142" i="10"/>
  <c r="C145" i="10"/>
  <c r="H150" i="10"/>
  <c r="E150" i="10"/>
  <c r="D150" i="10"/>
  <c r="G150" i="10"/>
  <c r="C150" i="10"/>
  <c r="F152" i="10"/>
  <c r="A32" i="13"/>
  <c r="A101" i="10"/>
  <c r="A93" i="10"/>
  <c r="E62" i="10"/>
  <c r="C63" i="10"/>
  <c r="D64" i="10"/>
  <c r="K64" i="10"/>
  <c r="B64" i="10"/>
  <c r="H65" i="10"/>
  <c r="I65" i="10"/>
  <c r="K65" i="10"/>
  <c r="G95" i="10"/>
  <c r="D95" i="10"/>
  <c r="B96" i="10"/>
  <c r="C97" i="10"/>
  <c r="F98" i="10"/>
  <c r="G99" i="10"/>
  <c r="H100" i="10"/>
  <c r="A102" i="10"/>
  <c r="B137" i="10"/>
  <c r="G137" i="10"/>
  <c r="I138" i="10"/>
  <c r="B139" i="10"/>
  <c r="D140" i="10"/>
  <c r="G142" i="10"/>
  <c r="F145" i="10"/>
  <c r="B150" i="10"/>
  <c r="I150" i="10" s="1"/>
  <c r="N1" i="3"/>
  <c r="A54" i="10"/>
  <c r="A59" i="10"/>
  <c r="F62" i="10"/>
  <c r="D63" i="10"/>
  <c r="C64" i="10"/>
  <c r="B65" i="10"/>
  <c r="H94" i="10"/>
  <c r="D94" i="10"/>
  <c r="I94" i="10" s="1"/>
  <c r="B95" i="10"/>
  <c r="I95" i="10" s="1"/>
  <c r="C96" i="10"/>
  <c r="F97" i="10"/>
  <c r="G98" i="10"/>
  <c r="H99" i="10"/>
  <c r="C136" i="10"/>
  <c r="I136" i="10" s="1"/>
  <c r="G136" i="10"/>
  <c r="C137" i="10"/>
  <c r="C139" i="10"/>
  <c r="E140" i="10"/>
  <c r="F144" i="10"/>
  <c r="C144" i="10"/>
  <c r="E144" i="10"/>
  <c r="B144" i="10"/>
  <c r="I144" i="10" s="1"/>
  <c r="H145" i="10"/>
  <c r="F150" i="10"/>
  <c r="F153" i="10"/>
  <c r="H153" i="10"/>
  <c r="D153" i="10"/>
  <c r="C153" i="10"/>
  <c r="E153" i="10"/>
  <c r="I153" i="10" s="1"/>
  <c r="A48" i="10"/>
  <c r="G62" i="10"/>
  <c r="F63" i="10"/>
  <c r="G97" i="10"/>
  <c r="H98" i="10"/>
  <c r="D139" i="10"/>
  <c r="F140" i="10"/>
  <c r="H151" i="10"/>
  <c r="G151" i="10"/>
  <c r="D151" i="10"/>
  <c r="C151" i="10"/>
  <c r="I151" i="10" s="1"/>
  <c r="G143" i="10"/>
  <c r="D143" i="10"/>
  <c r="I143" i="10" s="1"/>
  <c r="D155" i="10"/>
  <c r="H155" i="10"/>
  <c r="E155" i="10"/>
  <c r="C155" i="10"/>
  <c r="G160" i="10"/>
  <c r="E160" i="10"/>
  <c r="D160" i="10"/>
  <c r="I160" i="10" s="1"/>
  <c r="B165" i="10"/>
  <c r="F165" i="10"/>
  <c r="E165" i="10"/>
  <c r="Q35" i="13"/>
  <c r="B157" i="10"/>
  <c r="H157" i="10"/>
  <c r="E157" i="10"/>
  <c r="D157" i="10"/>
  <c r="E162" i="10"/>
  <c r="F162" i="10"/>
  <c r="D162" i="10"/>
  <c r="I162" i="10" s="1"/>
  <c r="C165" i="10"/>
  <c r="B148" i="10"/>
  <c r="G148" i="10"/>
  <c r="F148" i="10"/>
  <c r="E154" i="10"/>
  <c r="H154" i="10"/>
  <c r="D154" i="10"/>
  <c r="C154" i="10"/>
  <c r="I154" i="10" s="1"/>
  <c r="H159" i="10"/>
  <c r="E159" i="10"/>
  <c r="D159" i="10"/>
  <c r="I159" i="10" s="1"/>
  <c r="D165" i="10"/>
  <c r="C164" i="10"/>
  <c r="F164" i="10"/>
  <c r="E164" i="10"/>
  <c r="G165" i="10"/>
  <c r="C156" i="10"/>
  <c r="I156" i="10" s="1"/>
  <c r="H156" i="10"/>
  <c r="E156" i="10"/>
  <c r="D156" i="10"/>
  <c r="F161" i="10"/>
  <c r="E161" i="10"/>
  <c r="D161" i="10"/>
  <c r="I161" i="10" s="1"/>
  <c r="B164" i="10"/>
  <c r="I164" i="10" s="1"/>
  <c r="H165" i="10"/>
  <c r="A166" i="10"/>
  <c r="A158" i="10"/>
  <c r="A149" i="10"/>
  <c r="A167" i="10"/>
  <c r="A168" i="10"/>
  <c r="A169" i="10"/>
  <c r="A170" i="10"/>
  <c r="B153" i="13"/>
  <c r="G153" i="13"/>
  <c r="E153" i="13"/>
  <c r="D153" i="13"/>
  <c r="J104" i="13"/>
  <c r="B104" i="13"/>
  <c r="K104" i="13"/>
  <c r="I104" i="13"/>
  <c r="F104" i="13"/>
  <c r="K35" i="13"/>
  <c r="C35" i="13"/>
  <c r="E104" i="13"/>
  <c r="J35" i="13"/>
  <c r="H106" i="13"/>
  <c r="C106" i="13"/>
  <c r="K37" i="13"/>
  <c r="C37" i="13"/>
  <c r="K106" i="13"/>
  <c r="B106" i="13"/>
  <c r="J106" i="13"/>
  <c r="G106" i="13"/>
  <c r="O37" i="13"/>
  <c r="G37" i="13"/>
  <c r="F106" i="13"/>
  <c r="L37" i="13"/>
  <c r="H104" i="13"/>
  <c r="C153" i="13"/>
  <c r="F203" i="13"/>
  <c r="D203" i="13"/>
  <c r="C203" i="13"/>
  <c r="B203" i="13"/>
  <c r="H203" i="13"/>
  <c r="B37" i="13"/>
  <c r="M37" i="13"/>
  <c r="F153" i="13"/>
  <c r="E203" i="13"/>
  <c r="D37" i="13"/>
  <c r="N37" i="13"/>
  <c r="G203" i="13"/>
  <c r="E37" i="13"/>
  <c r="P37" i="13"/>
  <c r="E204" i="13"/>
  <c r="D204" i="13"/>
  <c r="C204" i="13"/>
  <c r="B204" i="13"/>
  <c r="H204" i="13"/>
  <c r="F37" i="13"/>
  <c r="F204" i="13"/>
  <c r="H37" i="13"/>
  <c r="C104" i="13"/>
  <c r="D106" i="13"/>
  <c r="B152" i="13"/>
  <c r="G152" i="13"/>
  <c r="F152" i="13"/>
  <c r="D152" i="13"/>
  <c r="C152" i="13"/>
  <c r="G202" i="13"/>
  <c r="D202" i="13"/>
  <c r="C202" i="13"/>
  <c r="B202" i="13"/>
  <c r="H202" i="13"/>
  <c r="G204" i="13"/>
  <c r="I37" i="13"/>
  <c r="D104" i="13"/>
  <c r="E106" i="13"/>
  <c r="E152" i="13"/>
  <c r="E202" i="13"/>
  <c r="D205" i="13"/>
  <c r="E205" i="13"/>
  <c r="C205" i="13"/>
  <c r="B205" i="13"/>
  <c r="H205" i="13"/>
  <c r="H206" i="13"/>
  <c r="H207" i="13"/>
  <c r="I36" i="13"/>
  <c r="Q36" i="13" s="1"/>
  <c r="B105" i="13"/>
  <c r="K105" i="13"/>
  <c r="C151" i="13"/>
  <c r="H151" i="13" s="1"/>
  <c r="B206" i="13"/>
  <c r="C207" i="13"/>
  <c r="I207" i="13" s="1"/>
  <c r="I208" i="13"/>
  <c r="D206" i="13"/>
  <c r="D207" i="13"/>
  <c r="E206" i="13"/>
  <c r="E207" i="13"/>
  <c r="I203" i="13" l="1"/>
  <c r="L65" i="10"/>
  <c r="Q37" i="13"/>
  <c r="H153" i="13"/>
  <c r="F166" i="10"/>
  <c r="E166" i="10"/>
  <c r="H166" i="10"/>
  <c r="G166" i="10"/>
  <c r="D166" i="10"/>
  <c r="B166" i="10"/>
  <c r="C166" i="10"/>
  <c r="E54" i="10"/>
  <c r="F54" i="10"/>
  <c r="B54" i="10"/>
  <c r="K54" i="10"/>
  <c r="J54" i="10"/>
  <c r="I54" i="10"/>
  <c r="H54" i="10"/>
  <c r="G54" i="10"/>
  <c r="D54" i="10"/>
  <c r="C54" i="10"/>
  <c r="F92" i="13"/>
  <c r="K92" i="13"/>
  <c r="B92" i="13"/>
  <c r="J92" i="13"/>
  <c r="G92" i="13"/>
  <c r="I92" i="13"/>
  <c r="H92" i="13"/>
  <c r="E92" i="13"/>
  <c r="D92" i="13"/>
  <c r="C92" i="13"/>
  <c r="O23" i="13"/>
  <c r="G23" i="13"/>
  <c r="L23" i="13"/>
  <c r="C23" i="13"/>
  <c r="I23" i="13"/>
  <c r="P23" i="13"/>
  <c r="E23" i="13"/>
  <c r="N23" i="13"/>
  <c r="D23" i="13"/>
  <c r="H23" i="13"/>
  <c r="F23" i="13"/>
  <c r="B23" i="13"/>
  <c r="M23" i="13"/>
  <c r="K23" i="13"/>
  <c r="J23" i="13"/>
  <c r="J80" i="13"/>
  <c r="B80" i="13"/>
  <c r="C80" i="13"/>
  <c r="K80" i="13"/>
  <c r="G80" i="13"/>
  <c r="E80" i="13"/>
  <c r="D80" i="13"/>
  <c r="I80" i="13"/>
  <c r="H80" i="13"/>
  <c r="F80" i="13"/>
  <c r="P11" i="13"/>
  <c r="H11" i="13"/>
  <c r="M11" i="13"/>
  <c r="D11" i="13"/>
  <c r="J11" i="13"/>
  <c r="I11" i="13"/>
  <c r="N11" i="13"/>
  <c r="L11" i="13"/>
  <c r="K11" i="13"/>
  <c r="G11" i="13"/>
  <c r="F11" i="13"/>
  <c r="E11" i="13"/>
  <c r="O11" i="13"/>
  <c r="C11" i="13"/>
  <c r="B11" i="13"/>
  <c r="I85" i="13"/>
  <c r="K85" i="13"/>
  <c r="B85" i="13"/>
  <c r="J85" i="13"/>
  <c r="F85" i="13"/>
  <c r="H85" i="13"/>
  <c r="G85" i="13"/>
  <c r="E85" i="13"/>
  <c r="D85" i="13"/>
  <c r="C85" i="13"/>
  <c r="M16" i="13"/>
  <c r="E16" i="13"/>
  <c r="J16" i="13"/>
  <c r="I16" i="13"/>
  <c r="P16" i="13"/>
  <c r="F16" i="13"/>
  <c r="O16" i="13"/>
  <c r="D16" i="13"/>
  <c r="N16" i="13"/>
  <c r="L16" i="13"/>
  <c r="K16" i="13"/>
  <c r="H16" i="13"/>
  <c r="G16" i="13"/>
  <c r="C16" i="13"/>
  <c r="B16" i="13"/>
  <c r="G103" i="13"/>
  <c r="E103" i="13"/>
  <c r="D103" i="13"/>
  <c r="J103" i="13"/>
  <c r="M34" i="13"/>
  <c r="E34" i="13"/>
  <c r="I103" i="13"/>
  <c r="B103" i="13"/>
  <c r="K103" i="13"/>
  <c r="H103" i="13"/>
  <c r="F103" i="13"/>
  <c r="J34" i="13"/>
  <c r="C103" i="13"/>
  <c r="G34" i="13"/>
  <c r="K34" i="13"/>
  <c r="F34" i="13"/>
  <c r="P34" i="13"/>
  <c r="D34" i="13"/>
  <c r="L34" i="13"/>
  <c r="I34" i="13"/>
  <c r="H34" i="13"/>
  <c r="C34" i="13"/>
  <c r="B34" i="13"/>
  <c r="O34" i="13"/>
  <c r="N34" i="13"/>
  <c r="D195" i="13"/>
  <c r="H195" i="13"/>
  <c r="G195" i="13"/>
  <c r="E195" i="13"/>
  <c r="C195" i="13"/>
  <c r="F195" i="13"/>
  <c r="B195" i="13"/>
  <c r="E147" i="13"/>
  <c r="F147" i="13"/>
  <c r="D147" i="13"/>
  <c r="C147" i="13"/>
  <c r="G147" i="13"/>
  <c r="B147" i="13"/>
  <c r="I53" i="10"/>
  <c r="E53" i="10"/>
  <c r="D53" i="10"/>
  <c r="C53" i="10"/>
  <c r="K53" i="10"/>
  <c r="B53" i="10"/>
  <c r="L53" i="10" s="1"/>
  <c r="J53" i="10"/>
  <c r="H53" i="10"/>
  <c r="G53" i="10"/>
  <c r="F53" i="10"/>
  <c r="F11" i="10"/>
  <c r="H11" i="10"/>
  <c r="G11" i="10"/>
  <c r="E11" i="10"/>
  <c r="D11" i="10"/>
  <c r="C11" i="10"/>
  <c r="B11" i="10"/>
  <c r="L105" i="13"/>
  <c r="I206" i="13"/>
  <c r="I205" i="13"/>
  <c r="E170" i="10"/>
  <c r="G170" i="10"/>
  <c r="F170" i="10"/>
  <c r="H170" i="10"/>
  <c r="D170" i="10"/>
  <c r="C170" i="10"/>
  <c r="B170" i="10"/>
  <c r="I148" i="10"/>
  <c r="I157" i="10"/>
  <c r="I155" i="10"/>
  <c r="I137" i="10"/>
  <c r="H57" i="10"/>
  <c r="D57" i="10"/>
  <c r="E57" i="10"/>
  <c r="C57" i="10"/>
  <c r="B57" i="10"/>
  <c r="K57" i="10"/>
  <c r="J57" i="10"/>
  <c r="I57" i="10"/>
  <c r="G57" i="10"/>
  <c r="F57" i="10"/>
  <c r="H74" i="13"/>
  <c r="G74" i="13"/>
  <c r="D74" i="13"/>
  <c r="J74" i="13"/>
  <c r="I74" i="13"/>
  <c r="F74" i="13"/>
  <c r="E74" i="13"/>
  <c r="C74" i="13"/>
  <c r="B74" i="13"/>
  <c r="K74" i="13"/>
  <c r="L5" i="13"/>
  <c r="D5" i="13"/>
  <c r="K5" i="13"/>
  <c r="B5" i="13"/>
  <c r="H5" i="13"/>
  <c r="P5" i="13"/>
  <c r="G5" i="13"/>
  <c r="E5" i="13"/>
  <c r="C5" i="13"/>
  <c r="O5" i="13"/>
  <c r="N5" i="13"/>
  <c r="M5" i="13"/>
  <c r="J5" i="13"/>
  <c r="F5" i="13"/>
  <c r="I5" i="13"/>
  <c r="E81" i="13"/>
  <c r="H81" i="13"/>
  <c r="G81" i="13"/>
  <c r="C81" i="13"/>
  <c r="F81" i="13"/>
  <c r="D81" i="13"/>
  <c r="B81" i="13"/>
  <c r="K81" i="13"/>
  <c r="J81" i="13"/>
  <c r="I81" i="13"/>
  <c r="N12" i="13"/>
  <c r="F12" i="13"/>
  <c r="M12" i="13"/>
  <c r="D12" i="13"/>
  <c r="J12" i="13"/>
  <c r="I12" i="13"/>
  <c r="K12" i="13"/>
  <c r="H12" i="13"/>
  <c r="G12" i="13"/>
  <c r="E12" i="13"/>
  <c r="C12" i="13"/>
  <c r="P12" i="13"/>
  <c r="B12" i="13"/>
  <c r="O12" i="13"/>
  <c r="L12" i="13"/>
  <c r="D86" i="13"/>
  <c r="G86" i="13"/>
  <c r="F86" i="13"/>
  <c r="K86" i="13"/>
  <c r="B86" i="13"/>
  <c r="J86" i="13"/>
  <c r="I86" i="13"/>
  <c r="H86" i="13"/>
  <c r="E86" i="13"/>
  <c r="C86" i="13"/>
  <c r="K17" i="13"/>
  <c r="C17" i="13"/>
  <c r="J17" i="13"/>
  <c r="M17" i="13"/>
  <c r="B17" i="13"/>
  <c r="H17" i="13"/>
  <c r="G17" i="13"/>
  <c r="O17" i="13"/>
  <c r="N17" i="13"/>
  <c r="L17" i="13"/>
  <c r="I17" i="13"/>
  <c r="F17" i="13"/>
  <c r="E17" i="13"/>
  <c r="P17" i="13"/>
  <c r="D17" i="13"/>
  <c r="F198" i="13"/>
  <c r="G198" i="13"/>
  <c r="E198" i="13"/>
  <c r="D198" i="13"/>
  <c r="B198" i="13"/>
  <c r="H198" i="13"/>
  <c r="C198" i="13"/>
  <c r="D148" i="13"/>
  <c r="F148" i="13"/>
  <c r="E148" i="13"/>
  <c r="C148" i="13"/>
  <c r="B148" i="13"/>
  <c r="G148" i="13"/>
  <c r="C55" i="10"/>
  <c r="D55" i="10"/>
  <c r="B55" i="10"/>
  <c r="C6" i="10"/>
  <c r="H6" i="10"/>
  <c r="G6" i="10"/>
  <c r="F6" i="10"/>
  <c r="E6" i="10"/>
  <c r="D6" i="10"/>
  <c r="B6" i="10"/>
  <c r="J6" i="10"/>
  <c r="I6" i="10"/>
  <c r="E12" i="10"/>
  <c r="H12" i="10"/>
  <c r="G12" i="10"/>
  <c r="F12" i="10"/>
  <c r="D12" i="10"/>
  <c r="C12" i="10"/>
  <c r="B12" i="10"/>
  <c r="F169" i="10"/>
  <c r="G169" i="10"/>
  <c r="E169" i="10"/>
  <c r="B169" i="10"/>
  <c r="H169" i="10"/>
  <c r="D169" i="10"/>
  <c r="C169" i="10"/>
  <c r="H102" i="10"/>
  <c r="E102" i="10"/>
  <c r="C102" i="10"/>
  <c r="B102" i="10"/>
  <c r="G102" i="10"/>
  <c r="F102" i="10"/>
  <c r="D102" i="10"/>
  <c r="D93" i="10"/>
  <c r="H93" i="10"/>
  <c r="G93" i="10"/>
  <c r="F93" i="10"/>
  <c r="E93" i="10"/>
  <c r="C93" i="10"/>
  <c r="B93" i="10"/>
  <c r="E50" i="10"/>
  <c r="D50" i="10"/>
  <c r="C50" i="10"/>
  <c r="K50" i="10"/>
  <c r="B50" i="10"/>
  <c r="J50" i="10"/>
  <c r="I50" i="10"/>
  <c r="H50" i="10"/>
  <c r="G50" i="10"/>
  <c r="F50" i="10"/>
  <c r="D94" i="13"/>
  <c r="C94" i="13"/>
  <c r="K94" i="13"/>
  <c r="B94" i="13"/>
  <c r="H94" i="13"/>
  <c r="J94" i="13"/>
  <c r="I94" i="13"/>
  <c r="G94" i="13"/>
  <c r="F94" i="13"/>
  <c r="E94" i="13"/>
  <c r="K25" i="13"/>
  <c r="C25" i="13"/>
  <c r="M25" i="13"/>
  <c r="D25" i="13"/>
  <c r="O25" i="13"/>
  <c r="E25" i="13"/>
  <c r="J25" i="13"/>
  <c r="I25" i="13"/>
  <c r="F25" i="13"/>
  <c r="B25" i="13"/>
  <c r="P25" i="13"/>
  <c r="N25" i="13"/>
  <c r="L25" i="13"/>
  <c r="H25" i="13"/>
  <c r="G25" i="13"/>
  <c r="H82" i="13"/>
  <c r="D82" i="13"/>
  <c r="C82" i="13"/>
  <c r="I82" i="13"/>
  <c r="G82" i="13"/>
  <c r="F82" i="13"/>
  <c r="E82" i="13"/>
  <c r="B82" i="13"/>
  <c r="L82" i="13" s="1"/>
  <c r="K82" i="13"/>
  <c r="J82" i="13"/>
  <c r="L13" i="13"/>
  <c r="D13" i="13"/>
  <c r="N13" i="13"/>
  <c r="E13" i="13"/>
  <c r="J13" i="13"/>
  <c r="I13" i="13"/>
  <c r="G13" i="13"/>
  <c r="F13" i="13"/>
  <c r="C13" i="13"/>
  <c r="P13" i="13"/>
  <c r="B13" i="13"/>
  <c r="O13" i="13"/>
  <c r="M13" i="13"/>
  <c r="K13" i="13"/>
  <c r="H13" i="13"/>
  <c r="H61" i="10"/>
  <c r="K61" i="10"/>
  <c r="B61" i="10"/>
  <c r="I61" i="10"/>
  <c r="G61" i="10"/>
  <c r="F61" i="10"/>
  <c r="E61" i="10"/>
  <c r="D61" i="10"/>
  <c r="C61" i="10"/>
  <c r="J61" i="10"/>
  <c r="D199" i="13"/>
  <c r="F199" i="13"/>
  <c r="E199" i="13"/>
  <c r="C199" i="13"/>
  <c r="H199" i="13"/>
  <c r="G199" i="13"/>
  <c r="B199" i="13"/>
  <c r="C149" i="13"/>
  <c r="F149" i="13"/>
  <c r="E149" i="13"/>
  <c r="D149" i="13"/>
  <c r="G149" i="13"/>
  <c r="B149" i="13"/>
  <c r="H149" i="13" s="1"/>
  <c r="I100" i="10"/>
  <c r="H7" i="10"/>
  <c r="F7" i="10"/>
  <c r="E7" i="10"/>
  <c r="D7" i="10"/>
  <c r="C7" i="10"/>
  <c r="B7" i="10"/>
  <c r="J7" i="10"/>
  <c r="I7" i="10"/>
  <c r="G7" i="10"/>
  <c r="D13" i="10"/>
  <c r="H13" i="10"/>
  <c r="G13" i="10"/>
  <c r="F13" i="10"/>
  <c r="E13" i="10"/>
  <c r="C13" i="10"/>
  <c r="B13" i="10"/>
  <c r="E101" i="10"/>
  <c r="B101" i="10"/>
  <c r="H101" i="10"/>
  <c r="G101" i="10"/>
  <c r="F101" i="10"/>
  <c r="D101" i="10"/>
  <c r="C101" i="10"/>
  <c r="I77" i="13"/>
  <c r="E77" i="13"/>
  <c r="D77" i="13"/>
  <c r="J77" i="13"/>
  <c r="K77" i="13"/>
  <c r="H77" i="13"/>
  <c r="G77" i="13"/>
  <c r="F77" i="13"/>
  <c r="C77" i="13"/>
  <c r="B77" i="13"/>
  <c r="N8" i="13"/>
  <c r="F8" i="13"/>
  <c r="L8" i="13"/>
  <c r="C8" i="13"/>
  <c r="I8" i="13"/>
  <c r="H8" i="13"/>
  <c r="J8" i="13"/>
  <c r="G8" i="13"/>
  <c r="E8" i="13"/>
  <c r="D8" i="13"/>
  <c r="P8" i="13"/>
  <c r="B8" i="13"/>
  <c r="O8" i="13"/>
  <c r="K8" i="13"/>
  <c r="M8" i="13"/>
  <c r="G79" i="13"/>
  <c r="F79" i="13"/>
  <c r="E79" i="13"/>
  <c r="K79" i="13"/>
  <c r="B79" i="13"/>
  <c r="C79" i="13"/>
  <c r="J79" i="13"/>
  <c r="I79" i="13"/>
  <c r="H79" i="13"/>
  <c r="D79" i="13"/>
  <c r="J10" i="13"/>
  <c r="B10" i="13"/>
  <c r="M10" i="13"/>
  <c r="D10" i="13"/>
  <c r="I10" i="13"/>
  <c r="H10" i="13"/>
  <c r="P10" i="13"/>
  <c r="C10" i="13"/>
  <c r="O10" i="13"/>
  <c r="N10" i="13"/>
  <c r="L10" i="13"/>
  <c r="K10" i="13"/>
  <c r="G10" i="13"/>
  <c r="F10" i="13"/>
  <c r="E10" i="13"/>
  <c r="K83" i="13"/>
  <c r="C83" i="13"/>
  <c r="I83" i="13"/>
  <c r="H83" i="13"/>
  <c r="E83" i="13"/>
  <c r="J83" i="13"/>
  <c r="G83" i="13"/>
  <c r="F83" i="13"/>
  <c r="D83" i="13"/>
  <c r="B83" i="13"/>
  <c r="J14" i="13"/>
  <c r="B14" i="13"/>
  <c r="N14" i="13"/>
  <c r="E14" i="13"/>
  <c r="K14" i="13"/>
  <c r="I14" i="13"/>
  <c r="D14" i="13"/>
  <c r="P14" i="13"/>
  <c r="C14" i="13"/>
  <c r="O14" i="13"/>
  <c r="M14" i="13"/>
  <c r="L14" i="13"/>
  <c r="H14" i="13"/>
  <c r="G14" i="13"/>
  <c r="F14" i="13"/>
  <c r="I140" i="10"/>
  <c r="E105" i="10"/>
  <c r="F105" i="10"/>
  <c r="H105" i="10"/>
  <c r="G105" i="10"/>
  <c r="D105" i="10"/>
  <c r="C105" i="10"/>
  <c r="B105" i="10"/>
  <c r="E52" i="10"/>
  <c r="H52" i="10"/>
  <c r="G52" i="10"/>
  <c r="F52" i="10"/>
  <c r="D52" i="10"/>
  <c r="C52" i="10"/>
  <c r="K52" i="10"/>
  <c r="B52" i="10"/>
  <c r="J52" i="10"/>
  <c r="I52" i="10"/>
  <c r="B192" i="13"/>
  <c r="C192" i="13"/>
  <c r="G192" i="13"/>
  <c r="F192" i="13"/>
  <c r="E192" i="13"/>
  <c r="D192" i="13"/>
  <c r="H192" i="13"/>
  <c r="B150" i="13"/>
  <c r="F150" i="13"/>
  <c r="E150" i="13"/>
  <c r="D150" i="13"/>
  <c r="G150" i="13"/>
  <c r="C150" i="13"/>
  <c r="C14" i="10"/>
  <c r="H14" i="10"/>
  <c r="G14" i="10"/>
  <c r="F14" i="10"/>
  <c r="E14" i="10"/>
  <c r="D14" i="10"/>
  <c r="B14" i="10"/>
  <c r="I202" i="13"/>
  <c r="H152" i="13"/>
  <c r="I204" i="13"/>
  <c r="H167" i="10"/>
  <c r="F167" i="10"/>
  <c r="E167" i="10"/>
  <c r="D167" i="10"/>
  <c r="C167" i="10"/>
  <c r="B167" i="10"/>
  <c r="G167" i="10"/>
  <c r="I101" i="13"/>
  <c r="D101" i="13"/>
  <c r="C101" i="13"/>
  <c r="H101" i="13"/>
  <c r="J101" i="13"/>
  <c r="G101" i="13"/>
  <c r="F101" i="13"/>
  <c r="E101" i="13"/>
  <c r="B101" i="13"/>
  <c r="M32" i="13"/>
  <c r="E32" i="13"/>
  <c r="K101" i="13"/>
  <c r="O32" i="13"/>
  <c r="F32" i="13"/>
  <c r="N32" i="13"/>
  <c r="C32" i="13"/>
  <c r="J32" i="13"/>
  <c r="I32" i="13"/>
  <c r="L32" i="13"/>
  <c r="K32" i="13"/>
  <c r="H32" i="13"/>
  <c r="G32" i="13"/>
  <c r="D32" i="13"/>
  <c r="B32" i="13"/>
  <c r="P32" i="13"/>
  <c r="I97" i="10"/>
  <c r="J88" i="13"/>
  <c r="B88" i="13"/>
  <c r="H88" i="13"/>
  <c r="G88" i="13"/>
  <c r="D88" i="13"/>
  <c r="C88" i="13"/>
  <c r="K88" i="13"/>
  <c r="I88" i="13"/>
  <c r="F88" i="13"/>
  <c r="O19" i="13"/>
  <c r="G19" i="13"/>
  <c r="E88" i="13"/>
  <c r="K19" i="13"/>
  <c r="B19" i="13"/>
  <c r="H19" i="13"/>
  <c r="N19" i="13"/>
  <c r="D19" i="13"/>
  <c r="M19" i="13"/>
  <c r="C19" i="13"/>
  <c r="L19" i="13"/>
  <c r="J19" i="13"/>
  <c r="I19" i="13"/>
  <c r="F19" i="13"/>
  <c r="E19" i="13"/>
  <c r="P19" i="13"/>
  <c r="J96" i="13"/>
  <c r="B96" i="13"/>
  <c r="E96" i="13"/>
  <c r="D96" i="13"/>
  <c r="I96" i="13"/>
  <c r="K96" i="13"/>
  <c r="H96" i="13"/>
  <c r="G96" i="13"/>
  <c r="F96" i="13"/>
  <c r="O27" i="13"/>
  <c r="G27" i="13"/>
  <c r="C96" i="13"/>
  <c r="M27" i="13"/>
  <c r="D27" i="13"/>
  <c r="J27" i="13"/>
  <c r="F27" i="13"/>
  <c r="P27" i="13"/>
  <c r="E27" i="13"/>
  <c r="B27" i="13"/>
  <c r="N27" i="13"/>
  <c r="L27" i="13"/>
  <c r="K27" i="13"/>
  <c r="I27" i="13"/>
  <c r="H27" i="13"/>
  <c r="C27" i="13"/>
  <c r="H98" i="13"/>
  <c r="F98" i="13"/>
  <c r="E98" i="13"/>
  <c r="K98" i="13"/>
  <c r="B98" i="13"/>
  <c r="D98" i="13"/>
  <c r="C98" i="13"/>
  <c r="J98" i="13"/>
  <c r="I98" i="13"/>
  <c r="K29" i="13"/>
  <c r="C29" i="13"/>
  <c r="G98" i="13"/>
  <c r="N29" i="13"/>
  <c r="E29" i="13"/>
  <c r="P29" i="13"/>
  <c r="F29" i="13"/>
  <c r="L29" i="13"/>
  <c r="J29" i="13"/>
  <c r="O29" i="13"/>
  <c r="M29" i="13"/>
  <c r="I29" i="13"/>
  <c r="H29" i="13"/>
  <c r="G29" i="13"/>
  <c r="D29" i="13"/>
  <c r="B29" i="13"/>
  <c r="G87" i="13"/>
  <c r="C87" i="13"/>
  <c r="K87" i="13"/>
  <c r="B87" i="13"/>
  <c r="H87" i="13"/>
  <c r="J87" i="13"/>
  <c r="I87" i="13"/>
  <c r="F87" i="13"/>
  <c r="E87" i="13"/>
  <c r="I18" i="13"/>
  <c r="D87" i="13"/>
  <c r="K18" i="13"/>
  <c r="B18" i="13"/>
  <c r="O18" i="13"/>
  <c r="E18" i="13"/>
  <c r="L18" i="13"/>
  <c r="J18" i="13"/>
  <c r="N18" i="13"/>
  <c r="M18" i="13"/>
  <c r="H18" i="13"/>
  <c r="G18" i="13"/>
  <c r="F18" i="13"/>
  <c r="D18" i="13"/>
  <c r="P18" i="13"/>
  <c r="C18" i="13"/>
  <c r="F104" i="10"/>
  <c r="E104" i="10"/>
  <c r="G104" i="10"/>
  <c r="D104" i="10"/>
  <c r="C104" i="10"/>
  <c r="B104" i="10"/>
  <c r="H104" i="10"/>
  <c r="I147" i="10"/>
  <c r="B200" i="13"/>
  <c r="E200" i="13"/>
  <c r="D200" i="13"/>
  <c r="C200" i="13"/>
  <c r="H200" i="13"/>
  <c r="G200" i="13"/>
  <c r="F200" i="13"/>
  <c r="H193" i="13"/>
  <c r="B193" i="13"/>
  <c r="F193" i="13"/>
  <c r="E193" i="13"/>
  <c r="G193" i="13"/>
  <c r="D193" i="13"/>
  <c r="C193" i="13"/>
  <c r="L60" i="10"/>
  <c r="E8" i="10"/>
  <c r="D8" i="10"/>
  <c r="C8" i="10"/>
  <c r="B8" i="10"/>
  <c r="K8" i="10" s="1"/>
  <c r="J8" i="10"/>
  <c r="I8" i="10"/>
  <c r="H8" i="10"/>
  <c r="G8" i="10"/>
  <c r="F8" i="10"/>
  <c r="B15" i="10"/>
  <c r="H15" i="10"/>
  <c r="G15" i="10"/>
  <c r="F15" i="10"/>
  <c r="E15" i="10"/>
  <c r="D15" i="10"/>
  <c r="C15" i="10"/>
  <c r="F149" i="10"/>
  <c r="F171" i="10" s="1"/>
  <c r="E149" i="10"/>
  <c r="E171" i="10" s="1"/>
  <c r="D149" i="10"/>
  <c r="D171" i="10" s="1"/>
  <c r="C149" i="10"/>
  <c r="C171" i="10" s="1"/>
  <c r="H149" i="10"/>
  <c r="G149" i="10"/>
  <c r="G171" i="10" s="1"/>
  <c r="B149" i="10"/>
  <c r="I165" i="10"/>
  <c r="L64" i="10"/>
  <c r="E89" i="13"/>
  <c r="D89" i="13"/>
  <c r="C89" i="13"/>
  <c r="I89" i="13"/>
  <c r="F89" i="13"/>
  <c r="B89" i="13"/>
  <c r="K89" i="13"/>
  <c r="J89" i="13"/>
  <c r="H89" i="13"/>
  <c r="M20" i="13"/>
  <c r="E20" i="13"/>
  <c r="G89" i="13"/>
  <c r="K20" i="13"/>
  <c r="B20" i="13"/>
  <c r="J20" i="13"/>
  <c r="G20" i="13"/>
  <c r="P20" i="13"/>
  <c r="F20" i="13"/>
  <c r="L20" i="13"/>
  <c r="I20" i="13"/>
  <c r="H20" i="13"/>
  <c r="D20" i="13"/>
  <c r="C20" i="13"/>
  <c r="O20" i="13"/>
  <c r="N20" i="13"/>
  <c r="K75" i="13"/>
  <c r="C75" i="13"/>
  <c r="D75" i="13"/>
  <c r="B75" i="13"/>
  <c r="H75" i="13"/>
  <c r="J75" i="13"/>
  <c r="I75" i="13"/>
  <c r="G75" i="13"/>
  <c r="F75" i="13"/>
  <c r="E75" i="13"/>
  <c r="J6" i="13"/>
  <c r="B6" i="13"/>
  <c r="L6" i="13"/>
  <c r="C6" i="13"/>
  <c r="H6" i="13"/>
  <c r="P6" i="13"/>
  <c r="G6" i="13"/>
  <c r="O6" i="13"/>
  <c r="N6" i="13"/>
  <c r="M6" i="13"/>
  <c r="K6" i="13"/>
  <c r="I6" i="13"/>
  <c r="F6" i="13"/>
  <c r="E6" i="13"/>
  <c r="D6" i="13"/>
  <c r="I93" i="13"/>
  <c r="G93" i="13"/>
  <c r="F93" i="13"/>
  <c r="C93" i="13"/>
  <c r="K93" i="13"/>
  <c r="J93" i="13"/>
  <c r="H93" i="13"/>
  <c r="E93" i="13"/>
  <c r="D93" i="13"/>
  <c r="B93" i="13"/>
  <c r="M24" i="13"/>
  <c r="E24" i="13"/>
  <c r="L24" i="13"/>
  <c r="C24" i="13"/>
  <c r="K24" i="13"/>
  <c r="H24" i="13"/>
  <c r="G24" i="13"/>
  <c r="F24" i="13"/>
  <c r="D24" i="13"/>
  <c r="B24" i="13"/>
  <c r="P24" i="13"/>
  <c r="O24" i="13"/>
  <c r="N24" i="13"/>
  <c r="J24" i="13"/>
  <c r="I24" i="13"/>
  <c r="K91" i="13"/>
  <c r="C91" i="13"/>
  <c r="F91" i="13"/>
  <c r="E91" i="13"/>
  <c r="J91" i="13"/>
  <c r="H91" i="13"/>
  <c r="G91" i="13"/>
  <c r="D91" i="13"/>
  <c r="B91" i="13"/>
  <c r="I22" i="13"/>
  <c r="I91" i="13"/>
  <c r="L22" i="13"/>
  <c r="C22" i="13"/>
  <c r="P22" i="13"/>
  <c r="F22" i="13"/>
  <c r="M22" i="13"/>
  <c r="B22" i="13"/>
  <c r="K22" i="13"/>
  <c r="H22" i="13"/>
  <c r="G22" i="13"/>
  <c r="E22" i="13"/>
  <c r="D22" i="13"/>
  <c r="O22" i="13"/>
  <c r="J22" i="13"/>
  <c r="N22" i="13"/>
  <c r="I152" i="10"/>
  <c r="L62" i="10"/>
  <c r="I99" i="10"/>
  <c r="I163" i="10"/>
  <c r="I142" i="10"/>
  <c r="B196" i="13"/>
  <c r="H196" i="13"/>
  <c r="G196" i="13"/>
  <c r="F196" i="13"/>
  <c r="D196" i="13"/>
  <c r="C196" i="13"/>
  <c r="E196" i="13"/>
  <c r="F194" i="13"/>
  <c r="H194" i="13"/>
  <c r="E194" i="13"/>
  <c r="D194" i="13"/>
  <c r="G194" i="13"/>
  <c r="C194" i="13"/>
  <c r="B194" i="13"/>
  <c r="D58" i="10"/>
  <c r="J58" i="10"/>
  <c r="C58" i="10"/>
  <c r="B58" i="10"/>
  <c r="L58" i="10" s="1"/>
  <c r="K58" i="10"/>
  <c r="I58" i="10"/>
  <c r="H58" i="10"/>
  <c r="G58" i="10"/>
  <c r="F58" i="10"/>
  <c r="E58" i="10"/>
  <c r="J9" i="10"/>
  <c r="B9" i="10"/>
  <c r="C9" i="10"/>
  <c r="I9" i="10"/>
  <c r="H9" i="10"/>
  <c r="G9" i="10"/>
  <c r="F9" i="10"/>
  <c r="E9" i="10"/>
  <c r="D9" i="10"/>
  <c r="B16" i="10"/>
  <c r="H16" i="10"/>
  <c r="G16" i="10"/>
  <c r="F16" i="10"/>
  <c r="E16" i="10"/>
  <c r="D16" i="10"/>
  <c r="C16" i="10"/>
  <c r="L104" i="13"/>
  <c r="G168" i="10"/>
  <c r="F168" i="10"/>
  <c r="E168" i="10"/>
  <c r="H168" i="10"/>
  <c r="D168" i="10"/>
  <c r="C168" i="10"/>
  <c r="B168" i="10"/>
  <c r="E48" i="10"/>
  <c r="J48" i="10"/>
  <c r="I48" i="10"/>
  <c r="H48" i="10"/>
  <c r="G48" i="10"/>
  <c r="F48" i="10"/>
  <c r="D48" i="10"/>
  <c r="C48" i="10"/>
  <c r="K48" i="10"/>
  <c r="B48" i="10"/>
  <c r="L106" i="13"/>
  <c r="I139" i="10"/>
  <c r="H90" i="13"/>
  <c r="J90" i="13"/>
  <c r="I90" i="13"/>
  <c r="E90" i="13"/>
  <c r="F90" i="13"/>
  <c r="D90" i="13"/>
  <c r="C90" i="13"/>
  <c r="B90" i="13"/>
  <c r="K90" i="13"/>
  <c r="K21" i="13"/>
  <c r="C21" i="13"/>
  <c r="G90" i="13"/>
  <c r="L21" i="13"/>
  <c r="B21" i="13"/>
  <c r="N21" i="13"/>
  <c r="D21" i="13"/>
  <c r="I21" i="13"/>
  <c r="H21" i="13"/>
  <c r="J21" i="13"/>
  <c r="G21" i="13"/>
  <c r="F21" i="13"/>
  <c r="E21" i="13"/>
  <c r="P21" i="13"/>
  <c r="O21" i="13"/>
  <c r="M21" i="13"/>
  <c r="E97" i="13"/>
  <c r="J97" i="13"/>
  <c r="I97" i="13"/>
  <c r="F97" i="13"/>
  <c r="C97" i="13"/>
  <c r="B97" i="13"/>
  <c r="K97" i="13"/>
  <c r="H97" i="13"/>
  <c r="G97" i="13"/>
  <c r="M28" i="13"/>
  <c r="E28" i="13"/>
  <c r="D97" i="13"/>
  <c r="N28" i="13"/>
  <c r="D28" i="13"/>
  <c r="L28" i="13"/>
  <c r="B28" i="13"/>
  <c r="I28" i="13"/>
  <c r="H28" i="13"/>
  <c r="P28" i="13"/>
  <c r="O28" i="13"/>
  <c r="K28" i="13"/>
  <c r="J28" i="13"/>
  <c r="G28" i="13"/>
  <c r="F28" i="13"/>
  <c r="C28" i="13"/>
  <c r="F100" i="13"/>
  <c r="H100" i="13"/>
  <c r="G100" i="13"/>
  <c r="C100" i="13"/>
  <c r="I100" i="13"/>
  <c r="E100" i="13"/>
  <c r="D100" i="13"/>
  <c r="B100" i="13"/>
  <c r="K100" i="13"/>
  <c r="O31" i="13"/>
  <c r="G31" i="13"/>
  <c r="J100" i="13"/>
  <c r="N31" i="13"/>
  <c r="E31" i="13"/>
  <c r="K31" i="13"/>
  <c r="H31" i="13"/>
  <c r="F31" i="13"/>
  <c r="M31" i="13"/>
  <c r="L31" i="13"/>
  <c r="J31" i="13"/>
  <c r="I31" i="13"/>
  <c r="D31" i="13"/>
  <c r="C31" i="13"/>
  <c r="P31" i="13"/>
  <c r="B31" i="13"/>
  <c r="G95" i="13"/>
  <c r="I95" i="13"/>
  <c r="H95" i="13"/>
  <c r="D95" i="13"/>
  <c r="K95" i="13"/>
  <c r="J95" i="13"/>
  <c r="F95" i="13"/>
  <c r="E95" i="13"/>
  <c r="C95" i="13"/>
  <c r="I26" i="13"/>
  <c r="B95" i="13"/>
  <c r="M26" i="13"/>
  <c r="D26" i="13"/>
  <c r="G26" i="13"/>
  <c r="N26" i="13"/>
  <c r="C26" i="13"/>
  <c r="L26" i="13"/>
  <c r="B26" i="13"/>
  <c r="Q26" i="13" s="1"/>
  <c r="E26" i="13"/>
  <c r="P26" i="13"/>
  <c r="O26" i="13"/>
  <c r="K26" i="13"/>
  <c r="J26" i="13"/>
  <c r="F26" i="13"/>
  <c r="H26" i="13"/>
  <c r="I145" i="10"/>
  <c r="D56" i="10"/>
  <c r="G56" i="10"/>
  <c r="F56" i="10"/>
  <c r="E56" i="10"/>
  <c r="C56" i="10"/>
  <c r="B56" i="10"/>
  <c r="K56" i="10"/>
  <c r="J56" i="10"/>
  <c r="I56" i="10"/>
  <c r="H56" i="10"/>
  <c r="D106" i="10"/>
  <c r="F106" i="10"/>
  <c r="H106" i="10"/>
  <c r="G106" i="10"/>
  <c r="E106" i="10"/>
  <c r="C106" i="10"/>
  <c r="B106" i="10"/>
  <c r="H201" i="13"/>
  <c r="D201" i="13"/>
  <c r="C201" i="13"/>
  <c r="B201" i="13"/>
  <c r="G201" i="13"/>
  <c r="F201" i="13"/>
  <c r="E201" i="13"/>
  <c r="G145" i="13"/>
  <c r="E145" i="13"/>
  <c r="D145" i="13"/>
  <c r="C145" i="13"/>
  <c r="F145" i="13"/>
  <c r="F154" i="13" s="1"/>
  <c r="B145" i="13"/>
  <c r="I49" i="10"/>
  <c r="G49" i="10"/>
  <c r="F49" i="10"/>
  <c r="E49" i="10"/>
  <c r="D49" i="10"/>
  <c r="C49" i="10"/>
  <c r="K49" i="10"/>
  <c r="B49" i="10"/>
  <c r="J49" i="10"/>
  <c r="H49" i="10"/>
  <c r="H17" i="10"/>
  <c r="B17" i="10"/>
  <c r="G17" i="10"/>
  <c r="F17" i="10"/>
  <c r="E17" i="10"/>
  <c r="D17" i="10"/>
  <c r="C17" i="10"/>
  <c r="H158" i="10"/>
  <c r="H171" i="10" s="1"/>
  <c r="E158" i="10"/>
  <c r="D158" i="10"/>
  <c r="G158" i="10"/>
  <c r="C158" i="10"/>
  <c r="F158" i="10"/>
  <c r="B158" i="10"/>
  <c r="I158" i="10" s="1"/>
  <c r="H59" i="10"/>
  <c r="G59" i="10"/>
  <c r="B59" i="10"/>
  <c r="K59" i="10"/>
  <c r="J59" i="10"/>
  <c r="I59" i="10"/>
  <c r="F59" i="10"/>
  <c r="E59" i="10"/>
  <c r="D59" i="10"/>
  <c r="C59" i="10"/>
  <c r="I96" i="10"/>
  <c r="L63" i="10"/>
  <c r="D78" i="13"/>
  <c r="J78" i="13"/>
  <c r="I78" i="13"/>
  <c r="F78" i="13"/>
  <c r="B78" i="13"/>
  <c r="K78" i="13"/>
  <c r="H78" i="13"/>
  <c r="G78" i="13"/>
  <c r="E78" i="13"/>
  <c r="C78" i="13"/>
  <c r="L9" i="13"/>
  <c r="D9" i="13"/>
  <c r="M9" i="13"/>
  <c r="C9" i="13"/>
  <c r="I9" i="13"/>
  <c r="H9" i="13"/>
  <c r="F9" i="13"/>
  <c r="E9" i="13"/>
  <c r="P9" i="13"/>
  <c r="B9" i="13"/>
  <c r="O9" i="13"/>
  <c r="N9" i="13"/>
  <c r="K9" i="13"/>
  <c r="J9" i="13"/>
  <c r="G9" i="13"/>
  <c r="D102" i="13"/>
  <c r="I102" i="13"/>
  <c r="H102" i="13"/>
  <c r="E102" i="13"/>
  <c r="C102" i="13"/>
  <c r="K102" i="13"/>
  <c r="J102" i="13"/>
  <c r="G102" i="13"/>
  <c r="F102" i="13"/>
  <c r="B102" i="13"/>
  <c r="K33" i="13"/>
  <c r="C33" i="13"/>
  <c r="O33" i="13"/>
  <c r="F33" i="13"/>
  <c r="G33" i="13"/>
  <c r="M33" i="13"/>
  <c r="B33" i="13"/>
  <c r="L33" i="13"/>
  <c r="J33" i="13"/>
  <c r="I33" i="13"/>
  <c r="H33" i="13"/>
  <c r="E33" i="13"/>
  <c r="D33" i="13"/>
  <c r="N33" i="13"/>
  <c r="P33" i="13"/>
  <c r="F84" i="13"/>
  <c r="E84" i="13"/>
  <c r="D84" i="13"/>
  <c r="J84" i="13"/>
  <c r="K84" i="13"/>
  <c r="I84" i="13"/>
  <c r="H84" i="13"/>
  <c r="G84" i="13"/>
  <c r="C84" i="13"/>
  <c r="B84" i="13"/>
  <c r="L84" i="13" s="1"/>
  <c r="O15" i="13"/>
  <c r="G15" i="13"/>
  <c r="J15" i="13"/>
  <c r="F15" i="13"/>
  <c r="M15" i="13"/>
  <c r="C15" i="13"/>
  <c r="L15" i="13"/>
  <c r="B15" i="13"/>
  <c r="Q15" i="13" s="1"/>
  <c r="P15" i="13"/>
  <c r="N15" i="13"/>
  <c r="K15" i="13"/>
  <c r="I15" i="13"/>
  <c r="H15" i="13"/>
  <c r="D15" i="13"/>
  <c r="E15" i="13"/>
  <c r="K99" i="13"/>
  <c r="C99" i="13"/>
  <c r="B99" i="13"/>
  <c r="J99" i="13"/>
  <c r="G99" i="13"/>
  <c r="F99" i="13"/>
  <c r="E99" i="13"/>
  <c r="D99" i="13"/>
  <c r="I99" i="13"/>
  <c r="I30" i="13"/>
  <c r="H99" i="13"/>
  <c r="N30" i="13"/>
  <c r="E30" i="13"/>
  <c r="H30" i="13"/>
  <c r="O30" i="13"/>
  <c r="D30" i="13"/>
  <c r="M30" i="13"/>
  <c r="C30" i="13"/>
  <c r="P30" i="13"/>
  <c r="L30" i="13"/>
  <c r="K30" i="13"/>
  <c r="J30" i="13"/>
  <c r="G30" i="13"/>
  <c r="F30" i="13"/>
  <c r="B30" i="13"/>
  <c r="I98" i="10"/>
  <c r="H197" i="13"/>
  <c r="G197" i="13"/>
  <c r="F197" i="13"/>
  <c r="E197" i="13"/>
  <c r="C197" i="13"/>
  <c r="B197" i="13"/>
  <c r="D197" i="13"/>
  <c r="F146" i="13"/>
  <c r="E146" i="13"/>
  <c r="D146" i="13"/>
  <c r="C146" i="13"/>
  <c r="G146" i="13"/>
  <c r="B146" i="13"/>
  <c r="H146" i="13" s="1"/>
  <c r="I51" i="10"/>
  <c r="K51" i="10"/>
  <c r="B51" i="10"/>
  <c r="J51" i="10"/>
  <c r="H51" i="10"/>
  <c r="G51" i="10"/>
  <c r="F51" i="10"/>
  <c r="E51" i="10"/>
  <c r="D51" i="10"/>
  <c r="C51" i="10"/>
  <c r="G10" i="10"/>
  <c r="H10" i="10"/>
  <c r="F10" i="10"/>
  <c r="E10" i="10"/>
  <c r="D10" i="10"/>
  <c r="C10" i="10"/>
  <c r="B10" i="10"/>
  <c r="K10" i="10" s="1"/>
  <c r="Q7" i="13"/>
  <c r="Q30" i="13" l="1"/>
  <c r="C154" i="13"/>
  <c r="L97" i="13"/>
  <c r="I66" i="10"/>
  <c r="Q6" i="13"/>
  <c r="L75" i="13"/>
  <c r="Q29" i="13"/>
  <c r="L96" i="13"/>
  <c r="F209" i="13"/>
  <c r="L77" i="13"/>
  <c r="E107" i="10"/>
  <c r="I199" i="13"/>
  <c r="L50" i="10"/>
  <c r="G18" i="10"/>
  <c r="M38" i="13"/>
  <c r="B38" i="13"/>
  <c r="Q5" i="13"/>
  <c r="F107" i="13"/>
  <c r="H147" i="13"/>
  <c r="Q34" i="13"/>
  <c r="Q11" i="13"/>
  <c r="L99" i="13"/>
  <c r="E154" i="13"/>
  <c r="L51" i="10"/>
  <c r="L78" i="13"/>
  <c r="G154" i="13"/>
  <c r="I106" i="10"/>
  <c r="L95" i="13"/>
  <c r="Q21" i="13"/>
  <c r="L48" i="10"/>
  <c r="J66" i="10"/>
  <c r="K16" i="10"/>
  <c r="K9" i="10"/>
  <c r="Q22" i="13"/>
  <c r="L91" i="13"/>
  <c r="L93" i="13"/>
  <c r="I104" i="10"/>
  <c r="L88" i="13"/>
  <c r="G209" i="13"/>
  <c r="K13" i="10"/>
  <c r="H18" i="10"/>
  <c r="N38" i="13"/>
  <c r="K38" i="13"/>
  <c r="I107" i="13"/>
  <c r="L54" i="10"/>
  <c r="I18" i="10"/>
  <c r="C18" i="10"/>
  <c r="O38" i="13"/>
  <c r="D38" i="13"/>
  <c r="J107" i="13"/>
  <c r="Q9" i="13"/>
  <c r="K66" i="10"/>
  <c r="C66" i="10"/>
  <c r="I168" i="10"/>
  <c r="I196" i="13"/>
  <c r="Q18" i="13"/>
  <c r="B209" i="13"/>
  <c r="I192" i="13"/>
  <c r="D107" i="10"/>
  <c r="K7" i="10"/>
  <c r="K12" i="10"/>
  <c r="J18" i="10"/>
  <c r="L55" i="10"/>
  <c r="C38" i="13"/>
  <c r="L38" i="13"/>
  <c r="D107" i="13"/>
  <c r="L57" i="10"/>
  <c r="E66" i="10"/>
  <c r="I197" i="13"/>
  <c r="Q33" i="13"/>
  <c r="L49" i="10"/>
  <c r="B154" i="13"/>
  <c r="H145" i="13"/>
  <c r="L56" i="10"/>
  <c r="Q31" i="13"/>
  <c r="D66" i="10"/>
  <c r="K15" i="10"/>
  <c r="L87" i="13"/>
  <c r="L98" i="13"/>
  <c r="L101" i="13"/>
  <c r="H150" i="13"/>
  <c r="Q14" i="13"/>
  <c r="L79" i="13"/>
  <c r="Q8" i="13"/>
  <c r="F107" i="10"/>
  <c r="K6" i="10"/>
  <c r="B18" i="10"/>
  <c r="E38" i="13"/>
  <c r="K107" i="13"/>
  <c r="G107" i="13"/>
  <c r="I170" i="10"/>
  <c r="Q23" i="13"/>
  <c r="I201" i="13"/>
  <c r="L100" i="13"/>
  <c r="F66" i="10"/>
  <c r="I193" i="13"/>
  <c r="I200" i="13"/>
  <c r="Q19" i="13"/>
  <c r="Q32" i="13"/>
  <c r="H209" i="13"/>
  <c r="Q10" i="13"/>
  <c r="G107" i="10"/>
  <c r="Q13" i="13"/>
  <c r="I93" i="10"/>
  <c r="D18" i="10"/>
  <c r="Q17" i="13"/>
  <c r="I38" i="13"/>
  <c r="G38" i="13"/>
  <c r="L74" i="13"/>
  <c r="B107" i="13"/>
  <c r="H107" i="13"/>
  <c r="L85" i="13"/>
  <c r="I166" i="10"/>
  <c r="C209" i="13"/>
  <c r="Q28" i="13"/>
  <c r="G66" i="10"/>
  <c r="I194" i="13"/>
  <c r="I167" i="10"/>
  <c r="D209" i="13"/>
  <c r="L52" i="10"/>
  <c r="I105" i="10"/>
  <c r="L83" i="13"/>
  <c r="H107" i="10"/>
  <c r="L61" i="10"/>
  <c r="E18" i="10"/>
  <c r="I198" i="13"/>
  <c r="Q12" i="13"/>
  <c r="L81" i="13"/>
  <c r="F38" i="13"/>
  <c r="P38" i="13"/>
  <c r="C107" i="13"/>
  <c r="I195" i="13"/>
  <c r="C107" i="10"/>
  <c r="L102" i="13"/>
  <c r="L59" i="10"/>
  <c r="K17" i="10"/>
  <c r="D154" i="13"/>
  <c r="L90" i="13"/>
  <c r="H66" i="10"/>
  <c r="Q24" i="13"/>
  <c r="Q20" i="13"/>
  <c r="L89" i="13"/>
  <c r="I149" i="10"/>
  <c r="B171" i="10"/>
  <c r="Q27" i="13"/>
  <c r="K14" i="10"/>
  <c r="E209" i="13"/>
  <c r="I101" i="10"/>
  <c r="I107" i="10" s="1"/>
  <c r="B107" i="10"/>
  <c r="Q25" i="13"/>
  <c r="L94" i="13"/>
  <c r="I102" i="10"/>
  <c r="I169" i="10"/>
  <c r="I171" i="10" s="1"/>
  <c r="F18" i="10"/>
  <c r="H148" i="13"/>
  <c r="L86" i="13"/>
  <c r="J38" i="13"/>
  <c r="H38" i="13"/>
  <c r="E107" i="13"/>
  <c r="K11" i="10"/>
  <c r="L103" i="13"/>
  <c r="Q16" i="13"/>
  <c r="L80" i="13"/>
  <c r="L92" i="13"/>
  <c r="H154" i="13" l="1"/>
  <c r="L66" i="10"/>
  <c r="R14" i="13"/>
  <c r="R21" i="13"/>
  <c r="I209" i="13"/>
  <c r="J192" i="13" s="1"/>
  <c r="R22" i="13"/>
  <c r="R33" i="13"/>
  <c r="R18" i="13"/>
  <c r="Q38" i="13"/>
  <c r="R13" i="13" s="1"/>
  <c r="L107" i="13"/>
  <c r="M85" i="13" s="1"/>
  <c r="K18" i="10"/>
  <c r="R25" i="13"/>
  <c r="R16" i="13"/>
  <c r="J194" i="13"/>
  <c r="R20" i="13"/>
  <c r="R19" i="13"/>
  <c r="R23" i="13"/>
  <c r="R8" i="13"/>
  <c r="R29" i="13"/>
  <c r="R30" i="13"/>
  <c r="M98" i="13" l="1"/>
  <c r="M101" i="13"/>
  <c r="M78" i="13"/>
  <c r="M100" i="13"/>
  <c r="M96" i="13"/>
  <c r="M89" i="13"/>
  <c r="M103" i="13"/>
  <c r="M99" i="13"/>
  <c r="M86" i="13"/>
  <c r="J209" i="13"/>
  <c r="J208" i="13"/>
  <c r="M88" i="13"/>
  <c r="M92" i="13"/>
  <c r="J196" i="13"/>
  <c r="R28" i="13"/>
  <c r="M87" i="13"/>
  <c r="R10" i="13"/>
  <c r="R27" i="13"/>
  <c r="R31" i="13"/>
  <c r="J199" i="13"/>
  <c r="J193" i="13"/>
  <c r="M107" i="13"/>
  <c r="M76" i="13"/>
  <c r="M104" i="13"/>
  <c r="M84" i="13"/>
  <c r="M106" i="13"/>
  <c r="M82" i="13"/>
  <c r="M105" i="13"/>
  <c r="M93" i="13"/>
  <c r="M79" i="13"/>
  <c r="I154" i="13"/>
  <c r="M74" i="13"/>
  <c r="R32" i="13"/>
  <c r="M95" i="13"/>
  <c r="M83" i="13"/>
  <c r="R9" i="13"/>
  <c r="J200" i="13"/>
  <c r="J197" i="13"/>
  <c r="M94" i="13"/>
  <c r="J195" i="13"/>
  <c r="R17" i="13"/>
  <c r="R34" i="13"/>
  <c r="R12" i="13"/>
  <c r="M81" i="13"/>
  <c r="R5" i="13"/>
  <c r="M97" i="13"/>
  <c r="R6" i="13"/>
  <c r="M80" i="13"/>
  <c r="J198" i="13"/>
  <c r="M102" i="13"/>
  <c r="R38" i="13"/>
  <c r="R36" i="13"/>
  <c r="R35" i="13"/>
  <c r="R37" i="13"/>
  <c r="R26" i="13"/>
  <c r="R15" i="13"/>
  <c r="R7" i="13"/>
  <c r="M77" i="13"/>
  <c r="M91" i="13"/>
  <c r="R11" i="13"/>
  <c r="M75" i="13"/>
  <c r="R24" i="13"/>
  <c r="M9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Falla, Edel</author>
  </authors>
  <commentList>
    <comment ref="K1" authorId="0" shapeId="0" xr:uid="{52268170-689B-4937-917A-C1A719224B5C}">
      <text>
        <r>
          <rPr>
            <b/>
            <sz val="9"/>
            <color indexed="81"/>
            <rFont val="Tahoma"/>
            <charset val="1"/>
          </rPr>
          <t>Falla, Edel:</t>
        </r>
        <r>
          <rPr>
            <sz val="9"/>
            <color indexed="81"/>
            <rFont val="Tahoma"/>
            <charset val="1"/>
          </rPr>
          <t xml:space="preserve">
Note to Emanuil &amp; team, we do not wish to include this info in the dashboard but to use it for internal purposes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Falla, Edel</author>
  </authors>
  <commentList>
    <comment ref="F1" authorId="0" shapeId="0" xr:uid="{E1304134-DC5C-4DBF-B889-FB16A41D37E3}">
      <text>
        <r>
          <rPr>
            <b/>
            <sz val="9"/>
            <color indexed="81"/>
            <rFont val="Tahoma"/>
            <charset val="1"/>
          </rPr>
          <t>Falla, Edel:</t>
        </r>
        <r>
          <rPr>
            <sz val="9"/>
            <color indexed="81"/>
            <rFont val="Tahoma"/>
            <charset val="1"/>
          </rPr>
          <t xml:space="preserve">
Note to Emanuil &amp; team, we do not wish to include this in the dashboard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Falla, Edel</author>
  </authors>
  <commentList>
    <comment ref="D1" authorId="0" shapeId="0" xr:uid="{6D374245-D1CE-4248-9B2C-68BF7EEA71DA}">
      <text>
        <r>
          <rPr>
            <b/>
            <sz val="9"/>
            <color indexed="81"/>
            <rFont val="Tahoma"/>
            <charset val="1"/>
          </rPr>
          <t>Falla, Edel:</t>
        </r>
        <r>
          <rPr>
            <sz val="9"/>
            <color indexed="81"/>
            <rFont val="Tahoma"/>
            <charset val="1"/>
          </rPr>
          <t xml:space="preserve">
Note to Emmanuil, we do not wish to include this in the dashboard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Falla, Edel</author>
  </authors>
  <commentList>
    <comment ref="A143" authorId="0" shapeId="0" xr:uid="{F92F0E13-D303-4AE6-8714-718FD44409D6}">
      <text>
        <r>
          <rPr>
            <b/>
            <sz val="9"/>
            <color indexed="81"/>
            <rFont val="Tahoma"/>
            <charset val="1"/>
          </rPr>
          <t>Falla, Edel:</t>
        </r>
        <r>
          <rPr>
            <sz val="9"/>
            <color indexed="81"/>
            <rFont val="Tahoma"/>
            <charset val="1"/>
          </rPr>
          <t xml:space="preserve">
update to GVDs</t>
        </r>
      </text>
    </comment>
    <comment ref="A190" authorId="0" shapeId="0" xr:uid="{7D28303A-7606-48BF-946E-C48845F8F9D4}">
      <text>
        <r>
          <rPr>
            <b/>
            <sz val="9"/>
            <color indexed="81"/>
            <rFont val="Tahoma"/>
            <charset val="1"/>
          </rPr>
          <t>Falla, Edel:</t>
        </r>
        <r>
          <rPr>
            <sz val="9"/>
            <color indexed="81"/>
            <rFont val="Tahoma"/>
            <charset val="1"/>
          </rPr>
          <t xml:space="preserve">
update to GVDs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<sst xmlns="http://schemas.openxmlformats.org/spreadsheetml/2006/main" count="4415" uniqueCount="724">
  <si>
    <t>EMEA team</t>
  </si>
  <si>
    <t>HTA body</t>
  </si>
  <si>
    <t>Subcategory</t>
  </si>
  <si>
    <t>Therapy area</t>
  </si>
  <si>
    <t>Indication</t>
  </si>
  <si>
    <t>Year</t>
  </si>
  <si>
    <t>End Year</t>
  </si>
  <si>
    <t>Scope of IQVIA support</t>
  </si>
  <si>
    <t>Outcome</t>
  </si>
  <si>
    <t>Product/indication</t>
  </si>
  <si>
    <t>England</t>
  </si>
  <si>
    <t>NICE</t>
  </si>
  <si>
    <t>NICE Technology appraisals</t>
  </si>
  <si>
    <t>Oncology</t>
  </si>
  <si>
    <t>Non metastatic castration refractory prostate cancer (potential resubmission)</t>
  </si>
  <si>
    <t>CEM adaptation, BIM, STA write-up, post-submission support</t>
  </si>
  <si>
    <t>Ongoing</t>
  </si>
  <si>
    <t>Enzalutamide</t>
  </si>
  <si>
    <t xml:space="preserve"> </t>
  </si>
  <si>
    <t xml:space="preserve">Metastatic hormone-sensitive prostate cancer </t>
  </si>
  <si>
    <t>CEM validation, BIM, STA write up, strategy validation with KOLs, post submission support, SLR + updates, NMA</t>
  </si>
  <si>
    <t>Blood and immune system</t>
  </si>
  <si>
    <t>Anaemia in CKD</t>
  </si>
  <si>
    <t>Roxadustat</t>
  </si>
  <si>
    <t>Gastroenterology</t>
  </si>
  <si>
    <t>Moderate-to-severe ulcerative colitis</t>
  </si>
  <si>
    <t>Filgotinib</t>
  </si>
  <si>
    <t>Oncology - solid tumour</t>
  </si>
  <si>
    <t>Early scientific advice, CEM, BIM, SLR, ITC, STA write-up, post-submission support</t>
  </si>
  <si>
    <t>Cabozantinib for HCC</t>
  </si>
  <si>
    <t>STA write-up, post-submission support</t>
  </si>
  <si>
    <t>Libtayo® for NSCLC</t>
  </si>
  <si>
    <t>Cardiovascular diseases</t>
  </si>
  <si>
    <t>Heart failure</t>
  </si>
  <si>
    <t>CEM adaptation, STA write-up</t>
  </si>
  <si>
    <t>Jardiance® for HFrEF</t>
  </si>
  <si>
    <t>Respiratory</t>
  </si>
  <si>
    <t>Cystic fibrosis</t>
  </si>
  <si>
    <t>CEM adaptation, BIM adaptation, Section B3 development, SLR update</t>
  </si>
  <si>
    <t>Postponed</t>
  </si>
  <si>
    <t>ELX/TEZ/IVA</t>
  </si>
  <si>
    <t>Muscoloskeletal</t>
  </si>
  <si>
    <t>Moderate-to-severe rheumatoid arthritis</t>
  </si>
  <si>
    <t>Recommended</t>
  </si>
  <si>
    <t>Other/None</t>
  </si>
  <si>
    <t>Genetic disease</t>
  </si>
  <si>
    <t xml:space="preserve"> CEM, BIM, STA write up</t>
  </si>
  <si>
    <t>Oncology - haemato-oncology</t>
  </si>
  <si>
    <t>CEM, BIM, STA write up</t>
  </si>
  <si>
    <t>Cardiovascular disease</t>
  </si>
  <si>
    <t>CEM validation, BIM, STA write up, post submission support</t>
  </si>
  <si>
    <t>CEM, BIM, STA write-up</t>
  </si>
  <si>
    <t>Withdrawn</t>
  </si>
  <si>
    <t>CEM adaptation, STA write-up, post-submission support</t>
  </si>
  <si>
    <t>Upadacitinib (recommended for severe RA)</t>
  </si>
  <si>
    <t>Oncology – haemato-oncology</t>
  </si>
  <si>
    <t xml:space="preserve"> CEM, BIM, STA write-up</t>
  </si>
  <si>
    <t>Oncology – solid tumour</t>
  </si>
  <si>
    <t>CEM, BIM, STA write-up, post-submission support</t>
  </si>
  <si>
    <t>Larotrectinib (VItrakvi®)for NTRK fusion</t>
  </si>
  <si>
    <t>Metabolic/Endocrine Disorders</t>
  </si>
  <si>
    <t>Type 1 diabetes</t>
  </si>
  <si>
    <t>CEM, BIM, post submission support</t>
  </si>
  <si>
    <t>Electrolyte imbalance</t>
  </si>
  <si>
    <t>SLR, adaptation of CEM and BIM, STA write up</t>
  </si>
  <si>
    <t>Not recommended</t>
  </si>
  <si>
    <t>Metabolic disease</t>
  </si>
  <si>
    <t>CEM adaptation, STA write up, post-submission support</t>
  </si>
  <si>
    <t>Liraglutide for obesity</t>
  </si>
  <si>
    <t>Acute myeloid leukaemia</t>
  </si>
  <si>
    <t>Liposomal cytarabine–daunorubicin for untreated acute myeloid leukaemia</t>
  </si>
  <si>
    <t>Dermatology</t>
  </si>
  <si>
    <t>Moderate-to-severe plaque psoriasis</t>
  </si>
  <si>
    <t>FTA write up, post-submission support</t>
  </si>
  <si>
    <t>Prostate cancer (high-risk nmCRPC)</t>
  </si>
  <si>
    <t>CEM, BIM, STA write up, strategy validation with KOLs, post submission support, SLR + updates, NMA</t>
  </si>
  <si>
    <t>Infectious diseases</t>
  </si>
  <si>
    <t>Hepatitis C</t>
  </si>
  <si>
    <t>Autologous chrondrocyte implantation</t>
  </si>
  <si>
    <t>SLRs, CEM, BIM, STA write up, post-submission support</t>
  </si>
  <si>
    <r>
      <t>3</t>
    </r>
    <r>
      <rPr>
        <vertAlign val="superscript"/>
        <sz val="11"/>
        <rFont val="Calibri"/>
        <family val="2"/>
        <charset val="161"/>
        <scheme val="minor"/>
      </rPr>
      <t>rd</t>
    </r>
    <r>
      <rPr>
        <sz val="11"/>
        <rFont val="Calibri"/>
        <family val="2"/>
        <charset val="161"/>
        <scheme val="minor"/>
      </rPr>
      <t xml:space="preserve"> Line Metastatic/Unresectable Gastrointestinal Stromal Tumour</t>
    </r>
  </si>
  <si>
    <t>CEM, BIM, post-submission support</t>
  </si>
  <si>
    <t>Baricitinib (recommended for severe RA)</t>
  </si>
  <si>
    <t>Metastatic hepatocellular carcinoma</t>
  </si>
  <si>
    <t>CEM/BIM revision, updated submission under CDF framework</t>
  </si>
  <si>
    <t>Pending</t>
  </si>
  <si>
    <t>Ophthalmology</t>
  </si>
  <si>
    <t>Visual impairment due to macular oedema secondary to branch retinal vein occlusion</t>
  </si>
  <si>
    <t>SLR, CEM, BIM, STA write up</t>
  </si>
  <si>
    <t>Advanced hepatocellular carcinoma</t>
  </si>
  <si>
    <t>Economic/QoL SLR, CEM, BIM, STA write up</t>
  </si>
  <si>
    <t>Prostate cancer</t>
  </si>
  <si>
    <t>Updated survival data analysis, adaptation of CEM, BIM, STA write up </t>
  </si>
  <si>
    <t>Treatment of adults with castration-resistant prostate cancer, symptomatic bone metastases and no known visceral metastases.</t>
  </si>
  <si>
    <t xml:space="preserve">SLR, CEM, BIM, STA write up, represented company at NICE </t>
  </si>
  <si>
    <t>Dupuytren's contracture</t>
  </si>
  <si>
    <t>CEM, MTA write up</t>
  </si>
  <si>
    <t>Type 2 diabetes</t>
  </si>
  <si>
    <t>CEM</t>
  </si>
  <si>
    <t>Visual impairment due to diabetic macular oedema</t>
  </si>
  <si>
    <t>NMA, CEM, STA write up</t>
  </si>
  <si>
    <t>Visual impairment caused by macular oedema secondary to central retinal vein occlusion</t>
  </si>
  <si>
    <t>Prostate cancer (chemo-naive mCRPC)</t>
  </si>
  <si>
    <t>CEM, BIM, STA write up, strategy validation with KOLs, post submission support, OS adjustment</t>
  </si>
  <si>
    <t>Rivaroxaban for the treatment of deep vein thrombosis and prevention of recurrent deep vein thrombosis and pulmonary embolism</t>
  </si>
  <si>
    <t>Wet age-related macular degeneration</t>
  </si>
  <si>
    <t>Diabetic macular edema</t>
  </si>
  <si>
    <t>CEM, BIM, STA write up, post submission support</t>
  </si>
  <si>
    <t>Iluvien</t>
  </si>
  <si>
    <t>Prostate cancer (post-chemo mCRPC)</t>
  </si>
  <si>
    <t>CEM, BIM, STA write up, strategy validation with KOLs, post submission support, SLR, NMA</t>
  </si>
  <si>
    <t>Rivaroxaban for treating pulmonary embolism and preventing recurrent venous thromboembolism</t>
  </si>
  <si>
    <t>Rivaroxaban for the prevention of stroke and systemic embolism in people with atrial fibrillation</t>
  </si>
  <si>
    <t>In combination with oral anti-diabetic therapy for the treatment of type 2 diabetes</t>
  </si>
  <si>
    <t>Bronchitol</t>
  </si>
  <si>
    <t xml:space="preserve">NHSE - Specialised commissioning </t>
  </si>
  <si>
    <t>Hypercholesterolemia</t>
  </si>
  <si>
    <t>CSP dossier</t>
  </si>
  <si>
    <t>Scotland</t>
  </si>
  <si>
    <t>SMC</t>
  </si>
  <si>
    <t>N/A</t>
  </si>
  <si>
    <t>CEM adaptation, BIM, NPAF write up, NPAF strategy validation, post submission support</t>
  </si>
  <si>
    <t>SMC submission</t>
  </si>
  <si>
    <t>CEM adaptation, NPAF write-up, post-subimssion support</t>
  </si>
  <si>
    <t>Larotrectinib (Vitrakvi®) for NTRK fusion cancer</t>
  </si>
  <si>
    <t>CEM development, SLR, NPAF write-up</t>
  </si>
  <si>
    <t>Leuprorelin acetate (Prostap®) for pre- and perimenopausal women with advanced breast cancer suitable for hormonal manipulation.</t>
  </si>
  <si>
    <t>Type 2 diabetes</t>
  </si>
  <si>
    <t>Acute myeloid leukemia</t>
  </si>
  <si>
    <t>Plaque psoriasis</t>
  </si>
  <si>
    <t>Hyperkalemia</t>
  </si>
  <si>
    <t>Gynacology</t>
  </si>
  <si>
    <t>Contraception</t>
  </si>
  <si>
    <t>CEM QC, SMC submission</t>
  </si>
  <si>
    <t>Hepatocellular carcinoma</t>
  </si>
  <si>
    <t>SLR, model updated, SMC submission</t>
  </si>
  <si>
    <r>
      <t>3</t>
    </r>
    <r>
      <rPr>
        <vertAlign val="superscript"/>
        <sz val="11"/>
        <rFont val="Calibri"/>
        <family val="2"/>
        <charset val="161"/>
        <scheme val="minor"/>
      </rPr>
      <t>rd</t>
    </r>
    <r>
      <rPr>
        <sz val="11"/>
        <rFont val="Calibri"/>
        <family val="2"/>
        <charset val="161"/>
        <scheme val="minor"/>
      </rPr>
      <t xml:space="preserve"> line metastatic GIST</t>
    </r>
  </si>
  <si>
    <t>SMC submission and post-admission support</t>
  </si>
  <si>
    <t>CEM, SMC submission</t>
  </si>
  <si>
    <t>CEM and BIM QC, SMC submission</t>
  </si>
  <si>
    <t>Branch retinal vein occlusion</t>
  </si>
  <si>
    <t>CEM, NMA, SLR, SMC submission</t>
  </si>
  <si>
    <t xml:space="preserve">Oropharyngeal candidiasis (OPC) in immunocompromised patients </t>
  </si>
  <si>
    <t>NPAF write up, postsubmission support</t>
  </si>
  <si>
    <t>Miconazole</t>
  </si>
  <si>
    <t>Acute bacterial skin and skin structure infections (ABSSSI)</t>
  </si>
  <si>
    <t>CEM adaptation, BIM, NPAF write up, NPAF strategy validation, post submission support, SLR, NMA</t>
  </si>
  <si>
    <t>Dalbavancin</t>
  </si>
  <si>
    <t>Clostridium difficile infections</t>
  </si>
  <si>
    <t>Fidaxomicin</t>
  </si>
  <si>
    <t>CEM adaptation, BIM, Section 6</t>
  </si>
  <si>
    <t>Wales</t>
  </si>
  <si>
    <t>AWMSG</t>
  </si>
  <si>
    <t>AWMSG submission</t>
  </si>
  <si>
    <t>Haematology</t>
  </si>
  <si>
    <t>Form A, Form B</t>
  </si>
  <si>
    <t>CEM, dossier post-submission support</t>
  </si>
  <si>
    <t>BIM, AWMSG dossier (Form B)</t>
  </si>
  <si>
    <t>CEM adaptation, BIM, Form B write up, AWMSG strategy validation, post submission support</t>
  </si>
  <si>
    <t>Hepatic veno-occlusive disease</t>
  </si>
  <si>
    <t>Ireland</t>
  </si>
  <si>
    <t>NCPE</t>
  </si>
  <si>
    <t xml:space="preserve">Non metastatic castration refractory prostate cancer </t>
  </si>
  <si>
    <t>Xtandi</t>
  </si>
  <si>
    <t>Rapid review, CEM adaptation, BIM, STA write-up, post-submission support</t>
  </si>
  <si>
    <t>Digestive system</t>
  </si>
  <si>
    <t>Rapid review</t>
  </si>
  <si>
    <t>Rheumatoid arthritis</t>
  </si>
  <si>
    <t>Full assessment requested</t>
  </si>
  <si>
    <t>Risankizumab</t>
  </si>
  <si>
    <t>CEM adaptation, BIM, Rapid Review Form write up, Scoping Meeting, Full dossier, post submission support</t>
  </si>
  <si>
    <t>Full economic assessment</t>
  </si>
  <si>
    <t>Central nervous system</t>
  </si>
  <si>
    <t>Parkinson’s disease</t>
  </si>
  <si>
    <t>Hepatitis C (2 indications)</t>
  </si>
  <si>
    <t>Recommended (x2)</t>
  </si>
  <si>
    <t>Diabetes/endocrine disorders</t>
  </si>
  <si>
    <t>Economic assessment</t>
  </si>
  <si>
    <t>Infections</t>
  </si>
  <si>
    <t>Ocular health</t>
  </si>
  <si>
    <t>NMA &amp; economics sections only</t>
  </si>
  <si>
    <t>Rapid review &amp; economic assessment</t>
  </si>
  <si>
    <t>Delayed</t>
  </si>
  <si>
    <t>Cancer (2 indications)</t>
  </si>
  <si>
    <t>Rapid review &amp; full economic assessment</t>
  </si>
  <si>
    <t>Pulmonary hypertension</t>
  </si>
  <si>
    <t>Germany</t>
  </si>
  <si>
    <t>G-BA</t>
  </si>
  <si>
    <t>LDL cholesterol reducer</t>
  </si>
  <si>
    <t>Derivation of the appropriate comparator therapy for early G-BA consultation;
Study design consultation</t>
  </si>
  <si>
    <t>Procedure completed - resubmitted</t>
  </si>
  <si>
    <t>Evolocumab</t>
  </si>
  <si>
    <t>Acute B-cell lymphoblastic leukemia</t>
  </si>
  <si>
    <t>Full AMNOG dossier</t>
  </si>
  <si>
    <t>Procedure completed - significant additional benefit</t>
  </si>
  <si>
    <t>Blinatumomab</t>
  </si>
  <si>
    <t>Treatment and prophylaxis of venous thrombosis and pulmonary embolism</t>
  </si>
  <si>
    <t>Procedure completed - indication of a low additional benefit</t>
  </si>
  <si>
    <t>Apixaban</t>
  </si>
  <si>
    <t>Non-Small Cell Lung Cancer</t>
  </si>
  <si>
    <t>Not submitted</t>
  </si>
  <si>
    <t xml:space="preserve">Anamorelin </t>
  </si>
  <si>
    <t>Development of pricing and reimbursement strategy
Health Technology Assessment (HTA) dossier Netherlands</t>
  </si>
  <si>
    <t xml:space="preserve"> Anamorelin </t>
  </si>
  <si>
    <t>Epilepsy</t>
  </si>
  <si>
    <t>Procedure completed - no additional benefit</t>
  </si>
  <si>
    <t>Perampanel</t>
  </si>
  <si>
    <t>Type-2-Diabetes</t>
  </si>
  <si>
    <t>Empagliflozin/Metformin</t>
  </si>
  <si>
    <t>Empagliflozin/Linagliptin</t>
  </si>
  <si>
    <t>Health economic evaluation
Evaluation of avoidable treatment costs of cardiovascular events.</t>
  </si>
  <si>
    <t>Empagliflozin</t>
  </si>
  <si>
    <t>Multiple myoloma</t>
  </si>
  <si>
    <t xml:space="preserve">Plitidepsin </t>
  </si>
  <si>
    <t>Breast cancer</t>
  </si>
  <si>
    <t>Procedure completed - evidence of substantial additional benefit.</t>
  </si>
  <si>
    <t>Eribulin</t>
  </si>
  <si>
    <t xml:space="preserve">AMNOG Dossier resubmission </t>
  </si>
  <si>
    <t>Parts of AMNOG dossier</t>
  </si>
  <si>
    <t>Procedure completed - Orphan - additional benefit</t>
  </si>
  <si>
    <t xml:space="preserve">Blinatumomab </t>
  </si>
  <si>
    <t>Alpha-Mannosidose</t>
  </si>
  <si>
    <t>Procedure completed - non-quantifiable additional benefit</t>
  </si>
  <si>
    <t>Velmanase alfa</t>
  </si>
  <si>
    <t>Lenvatinib</t>
  </si>
  <si>
    <t>Procedure completed - indication of significant additional benefit</t>
  </si>
  <si>
    <t>Guselkumab</t>
  </si>
  <si>
    <t>Sirukumab</t>
  </si>
  <si>
    <t>Brodalumab</t>
  </si>
  <si>
    <t>Hemophilia B</t>
  </si>
  <si>
    <t xml:space="preserve">Nonacog beta pegol </t>
  </si>
  <si>
    <t>non-metastatic castration-resistant prostate cancer</t>
  </si>
  <si>
    <t>Sleep disorders</t>
  </si>
  <si>
    <t>Melatonin</t>
  </si>
  <si>
    <t>Cabozantinib</t>
  </si>
  <si>
    <t>Non-hyperkeratotic, non-hypertrophic actinic keratoses</t>
  </si>
  <si>
    <t>Full AMNOG Dossier</t>
  </si>
  <si>
    <t>Picato</t>
  </si>
  <si>
    <t>ALL and DLBCL</t>
  </si>
  <si>
    <t>Completed</t>
  </si>
  <si>
    <t>Ribociclib</t>
  </si>
  <si>
    <t>Opioid-induced constipation</t>
  </si>
  <si>
    <t>Naldemedin</t>
  </si>
  <si>
    <t>Naldemedine</t>
  </si>
  <si>
    <t>VWF</t>
  </si>
  <si>
    <t>Other</t>
  </si>
  <si>
    <t>Strategic consulting</t>
  </si>
  <si>
    <t>Multiple</t>
  </si>
  <si>
    <t xml:space="preserve">Acute Lymphoblastic Leukemia </t>
  </si>
  <si>
    <t>Relapsed and refractory multiple myeloma</t>
  </si>
  <si>
    <t>Carfilzomib</t>
  </si>
  <si>
    <t>CAR-T cell therapy</t>
  </si>
  <si>
    <t>Ide-Cel</t>
  </si>
  <si>
    <t>Liso-Cel</t>
  </si>
  <si>
    <t>Renal cell carcinoma (2L)</t>
  </si>
  <si>
    <t>Everolimus-Lenvatinib</t>
  </si>
  <si>
    <t>Medullary thyroid carcinoma</t>
  </si>
  <si>
    <t>Cometriq</t>
  </si>
  <si>
    <t>Fibrodysplasia ossificans progressiva</t>
  </si>
  <si>
    <t>Palovaroten</t>
  </si>
  <si>
    <t>Follicular lymphoma (1L)</t>
  </si>
  <si>
    <t>Gazyvaro</t>
  </si>
  <si>
    <t>Chronic lymphocytic leukemia</t>
  </si>
  <si>
    <t>Refractory follicular lymphoma</t>
  </si>
  <si>
    <t>Multiple myeloma (3L)</t>
  </si>
  <si>
    <t>Isatuximab</t>
  </si>
  <si>
    <t>Antibiotics</t>
  </si>
  <si>
    <t>Cefiderocol</t>
  </si>
  <si>
    <t>HIV</t>
  </si>
  <si>
    <t xml:space="preserve"> Ibalizumab</t>
  </si>
  <si>
    <t>Symkevi</t>
  </si>
  <si>
    <t>Risk of cardiovascular events among adults with elevated triglyceride levels</t>
  </si>
  <si>
    <t>Icosapent ethyl</t>
  </si>
  <si>
    <t>Non-small cell lung cancer</t>
  </si>
  <si>
    <t xml:space="preserve">Sotorasib </t>
  </si>
  <si>
    <t>Early G-BA advice</t>
  </si>
  <si>
    <t>AMG 330</t>
  </si>
  <si>
    <t>Systematic Literature- and study registry search and Delphi Panel</t>
  </si>
  <si>
    <t>CAR T</t>
  </si>
  <si>
    <t xml:space="preserve"> Renal cell carcinoma (1L)</t>
  </si>
  <si>
    <t>Lenvima plus Everolimus</t>
  </si>
  <si>
    <t>Endometrial carcinoma</t>
  </si>
  <si>
    <t>Lenvatinib plus Pembrolizumab</t>
  </si>
  <si>
    <t>Hairy cell leucemia</t>
  </si>
  <si>
    <t>Lumoxiti</t>
  </si>
  <si>
    <t>Renal cell carcinoma (1L)</t>
  </si>
  <si>
    <t>G-BA advice</t>
  </si>
  <si>
    <t>Cabozantinib-Nivolumab</t>
  </si>
  <si>
    <t>Procedure completed -   Indication of significant additional benefit</t>
  </si>
  <si>
    <t>Psoriatic arthritis</t>
  </si>
  <si>
    <t>Mental and behavioural disorders</t>
  </si>
  <si>
    <t>Depression</t>
  </si>
  <si>
    <t>Derivation of the appropriate comparator therapy for early G-BA consultation</t>
  </si>
  <si>
    <t>Mulitiple sclerosis</t>
  </si>
  <si>
    <t>Ponesimod</t>
  </si>
  <si>
    <t>Atopic dermatitis</t>
  </si>
  <si>
    <t>Tralokinumab</t>
  </si>
  <si>
    <t>Multiple sclerosis</t>
  </si>
  <si>
    <t>Network meta-analysis (NMA) of seven active ingredients
Analysis of weak points of the NMA
Publication of the results
Statement on IQWiG's NMA</t>
  </si>
  <si>
    <t>Cladribin</t>
  </si>
  <si>
    <t>Luxturna</t>
  </si>
  <si>
    <t>Multiple myeloma</t>
  </si>
  <si>
    <t>Elranatamab</t>
  </si>
  <si>
    <t>Advanced therapy medicinal products (ATMPs)</t>
  </si>
  <si>
    <t xml:space="preserve">Horizon scanning 
Best-practice-derived recommendations </t>
  </si>
  <si>
    <t>Comprehensive overview of HTA processes 
Identification of hurdles and success factors
Best-practice-derived recommendations</t>
  </si>
  <si>
    <t>Basal cell carcinoma</t>
  </si>
  <si>
    <t>Cemiplimab</t>
  </si>
  <si>
    <t>Multiple myeloma (1L)</t>
  </si>
  <si>
    <t>Multiple myeloma (2L)</t>
  </si>
  <si>
    <t>Acid sphingomyelinase deficiency</t>
  </si>
  <si>
    <t>Olipudase Alfa</t>
  </si>
  <si>
    <t>Infections and inflammations associated with cataract surgery</t>
  </si>
  <si>
    <t>Levofloxacin</t>
  </si>
  <si>
    <t>Non-small cell lung cancer (1L)</t>
  </si>
  <si>
    <t>Levantinib plus pembrolizumab</t>
  </si>
  <si>
    <t>Hepatocellular carcinoma (1L)</t>
  </si>
  <si>
    <t>Cabozantinib in Combination with Atezolizumab</t>
  </si>
  <si>
    <t>Covid-19</t>
  </si>
  <si>
    <t>MK-7110</t>
  </si>
  <si>
    <t>Molnupiravir</t>
  </si>
  <si>
    <t>Zepatier</t>
  </si>
  <si>
    <t>Schizophrenia</t>
  </si>
  <si>
    <t>Pricing and reimbursment</t>
  </si>
  <si>
    <t>Rovi</t>
  </si>
  <si>
    <t>Ibalizumab</t>
  </si>
  <si>
    <t>Spain</t>
  </si>
  <si>
    <t>BIM</t>
  </si>
  <si>
    <t>X</t>
  </si>
  <si>
    <t>Symkevi®</t>
  </si>
  <si>
    <t>Tysabri®</t>
  </si>
  <si>
    <t>Chronic hypoparathyroidism</t>
  </si>
  <si>
    <t>DV</t>
  </si>
  <si>
    <t>Natpar</t>
  </si>
  <si>
    <t>HER2 positive metastatic breast cancer</t>
  </si>
  <si>
    <t>DV, BIM</t>
  </si>
  <si>
    <t>Enhertu®</t>
  </si>
  <si>
    <t>Alzheimer’s Disease</t>
  </si>
  <si>
    <t xml:space="preserve">PLASMA EXCHANGE WITH ALBUMIN </t>
  </si>
  <si>
    <t>Anticoagulation. ACODs in DVT and EP</t>
  </si>
  <si>
    <t>Budget impact of NACOs reimbursment in DVT and EP</t>
  </si>
  <si>
    <t xml:space="preserve">Risperidone ISM® </t>
  </si>
  <si>
    <t>Prevention of cardiovascular events</t>
  </si>
  <si>
    <t>Remodulin®</t>
  </si>
  <si>
    <t xml:space="preserve">Stroke, Traumatic Brain Injury and Cognitive Impairment </t>
  </si>
  <si>
    <t>Somazina®</t>
  </si>
  <si>
    <t>Chronic lymphocytic leukemia</t>
  </si>
  <si>
    <t>Burden of disease economic model</t>
  </si>
  <si>
    <t>Venclyxto®</t>
  </si>
  <si>
    <t>DV, BIM, CEM</t>
  </si>
  <si>
    <t>Nilemdo®</t>
  </si>
  <si>
    <t>Untreated Hodgkin lymphoma</t>
  </si>
  <si>
    <t>Adcetris®</t>
  </si>
  <si>
    <t>Thrombotic cardiovascular events</t>
  </si>
  <si>
    <t>Kengrexal®</t>
  </si>
  <si>
    <t>Asthma</t>
  </si>
  <si>
    <t>Dupilumab</t>
  </si>
  <si>
    <t>Unresectable or Metastatic Melanoma</t>
  </si>
  <si>
    <t xml:space="preserve">Braftovi® &amp; Mektovi® </t>
  </si>
  <si>
    <t>Refractory or Relactive Multiple Myeloma</t>
  </si>
  <si>
    <t>Ninlaro®</t>
  </si>
  <si>
    <t>Advanced melanoma</t>
  </si>
  <si>
    <t>CEM, BIM</t>
  </si>
  <si>
    <t>Upadacitinib (Rinvoq®)</t>
  </si>
  <si>
    <t>Acarizax®</t>
  </si>
  <si>
    <t>Diabetes mellitus type 2</t>
  </si>
  <si>
    <t>Empagliflozina</t>
  </si>
  <si>
    <t>Moderate-severe psoriasis</t>
  </si>
  <si>
    <t>Influenza</t>
  </si>
  <si>
    <t>VD</t>
  </si>
  <si>
    <t>VaxigripTetraTM</t>
  </si>
  <si>
    <t>Lokelma®</t>
  </si>
  <si>
    <t>Glyxambi®</t>
  </si>
  <si>
    <t>hospital services, pathologies</t>
  </si>
  <si>
    <t>Pricing stategy and position dosier</t>
  </si>
  <si>
    <t>PET/MRI</t>
  </si>
  <si>
    <t>Inlamatory bowel diseases</t>
  </si>
  <si>
    <t>Economic model</t>
  </si>
  <si>
    <t>Entyvio</t>
  </si>
  <si>
    <t>Chronic obstructive pulmonary disease (COPD)</t>
  </si>
  <si>
    <t>Respimat</t>
  </si>
  <si>
    <t>Uveitis</t>
  </si>
  <si>
    <t>Adalimumab</t>
  </si>
  <si>
    <t>subpopulation epilepsy</t>
  </si>
  <si>
    <t>Castration-resistant prostate cancer</t>
  </si>
  <si>
    <t>Xofigo</t>
  </si>
  <si>
    <t>Psoriasis</t>
  </si>
  <si>
    <t>Estilar</t>
  </si>
  <si>
    <t>Rheumatoid artritis</t>
  </si>
  <si>
    <t>Sarilumab</t>
  </si>
  <si>
    <t>Mild cognitive impairment (MCI)</t>
  </si>
  <si>
    <t>Tebofortan</t>
  </si>
  <si>
    <t>Diabetes mellitus</t>
  </si>
  <si>
    <t>Toujeo</t>
  </si>
  <si>
    <t>Hidradenitis suppurativa (HS)</t>
  </si>
  <si>
    <t>Humira</t>
  </si>
  <si>
    <t>Core Diabetes Model</t>
  </si>
  <si>
    <t>None</t>
  </si>
  <si>
    <t>Ixekizumab</t>
  </si>
  <si>
    <t>Jardiance</t>
  </si>
  <si>
    <t>Italy</t>
  </si>
  <si>
    <t>AIFA</t>
  </si>
  <si>
    <t>AIFA Technology appraisals</t>
  </si>
  <si>
    <t>Prostate cancer (nmCRPC)</t>
  </si>
  <si>
    <t>P&amp;R Dossier Development</t>
  </si>
  <si>
    <t>Class C</t>
  </si>
  <si>
    <t>Xtandi (enzalutamide)</t>
  </si>
  <si>
    <t>Primary immunodeficiency syndrome</t>
  </si>
  <si>
    <t>Reimbursed</t>
  </si>
  <si>
    <t>Gamunex</t>
  </si>
  <si>
    <t>Tetanus prophylaxis wound</t>
  </si>
  <si>
    <t>P&amp;R Dossier Development
Pharmacoeconomics Models Adaptation</t>
  </si>
  <si>
    <t>Tetanus Gamma</t>
  </si>
  <si>
    <t>brexpiprazole</t>
  </si>
  <si>
    <t>Sjogren’s Syndrome</t>
  </si>
  <si>
    <t>P&amp;R Dossier Development
Support with AIFA negotiation</t>
  </si>
  <si>
    <t>Salagen</t>
  </si>
  <si>
    <t>Mucopolysaccharidosis I</t>
  </si>
  <si>
    <t>Re-negotiated</t>
  </si>
  <si>
    <t>Laronidase (aldurazyme)</t>
  </si>
  <si>
    <t>P&amp;R Dossier Development
Pharmacoeconomics Models Adaptation
Innovativeness request</t>
  </si>
  <si>
    <t>Reimbursed &amp; Innovative</t>
  </si>
  <si>
    <t>Xospata (gilteritinib)</t>
  </si>
  <si>
    <t>Alterations of biligenetic function</t>
  </si>
  <si>
    <t>Deursil (ursodeoxycholic acid)</t>
  </si>
  <si>
    <t>Pharmacoeconomics Models Adaptation</t>
  </si>
  <si>
    <t>Fluticasone furoate / umeclidinium bromide / vilanterol</t>
  </si>
  <si>
    <t>Flucelvax QIVc (quadrivalent  vaccine)</t>
  </si>
  <si>
    <t>Xiapex (clostridium Histolyticum)</t>
  </si>
  <si>
    <t>Primary haemophagocytic lymphohistiocytosis</t>
  </si>
  <si>
    <t>EMA withdrawn</t>
  </si>
  <si>
    <t>Gamifant (emapalumab)</t>
  </si>
  <si>
    <t>Vazkepa (icosapent ethyl)</t>
  </si>
  <si>
    <t>Under AIFA evaluation</t>
  </si>
  <si>
    <t>lurasidone</t>
  </si>
  <si>
    <t>Prostate cancer (mHSPC)</t>
  </si>
  <si>
    <t>Progressive fibrosing interstitial lung disease (PF-ILD)</t>
  </si>
  <si>
    <t>Ofev (nintedanib)</t>
  </si>
  <si>
    <t>Systemic sclerosis with associated interstitial lung disease (SSc-ILD)</t>
  </si>
  <si>
    <t>Ovarian Cancer</t>
  </si>
  <si>
    <t>Pharmacoeconomics Models Adaptation
Innovativeness request</t>
  </si>
  <si>
    <t>Zejula (niraparib)</t>
  </si>
  <si>
    <t>Endometrial cancer</t>
  </si>
  <si>
    <t>dostarlimab</t>
  </si>
  <si>
    <t>Multiple Myeloma</t>
  </si>
  <si>
    <t>Blenrep (belantamab)</t>
  </si>
  <si>
    <t>Bleeding during surgery</t>
  </si>
  <si>
    <t>Veraseal</t>
  </si>
  <si>
    <t xml:space="preserve">Acute bacterial skin and skin structure infections (ABSSSI) </t>
  </si>
  <si>
    <t>delafloxacin</t>
  </si>
  <si>
    <t>Bacterial infections</t>
  </si>
  <si>
    <t>Vaborem (meropenem &amp; vaborbactam)</t>
  </si>
  <si>
    <t>Orbactiv (oritavacin)</t>
  </si>
  <si>
    <t>Multiple myeloma, lymphoma</t>
  </si>
  <si>
    <t>Mozobil (plerixafor)</t>
  </si>
  <si>
    <t>Hereditary angioedema</t>
  </si>
  <si>
    <t>Takhzyro (lanadelumab)</t>
  </si>
  <si>
    <t>Thrombocytopenia in patients with chronic liver disease (CLD)</t>
  </si>
  <si>
    <t>Doptelet (avatrombopag)</t>
  </si>
  <si>
    <t>Hodgkin Lymphoma</t>
  </si>
  <si>
    <t>Adcetris (brentuximab vedotin)</t>
  </si>
  <si>
    <t>Human immunodeficiency virus (HIV)</t>
  </si>
  <si>
    <t>P&amp;R Dossier Development
Pharmacoeconomics Models Adaptation
Innovativeness request
Support with AIFA negotiation</t>
  </si>
  <si>
    <t>Trogarzo (ibalizumab)</t>
  </si>
  <si>
    <t>P&amp;R Dossier development</t>
  </si>
  <si>
    <t>Orencia</t>
  </si>
  <si>
    <t>Renal Cell carcinoma</t>
  </si>
  <si>
    <t>Opdivo (nivolumab)</t>
  </si>
  <si>
    <t>Onureg (azacitidina)</t>
  </si>
  <si>
    <t>Ulcerative colitis</t>
  </si>
  <si>
    <t>Zeposia</t>
  </si>
  <si>
    <t>Gastric cancer</t>
  </si>
  <si>
    <t>Opdivo (nivolumab) + chemotherapy</t>
  </si>
  <si>
    <t>Bladder cancer</t>
  </si>
  <si>
    <t>Mesothelioma</t>
  </si>
  <si>
    <t>Opdivo (nivolumab) + Yervoy (ipilimumab)</t>
  </si>
  <si>
    <t>Colon cancer</t>
  </si>
  <si>
    <t>Esophageal Cancer</t>
  </si>
  <si>
    <t>thalidomide</t>
  </si>
  <si>
    <t>Abecma (idecabtagene vicleucel) CAR-T</t>
  </si>
  <si>
    <t>Large B-cell lymphoma</t>
  </si>
  <si>
    <t>Breyanzi lisocabtagene maraleucel) CAR-T</t>
  </si>
  <si>
    <t>Diffuse large B-cell lymphoma (DLBCL)</t>
  </si>
  <si>
    <t>tafasitamab</t>
  </si>
  <si>
    <t>Cholangiocarcinoma</t>
  </si>
  <si>
    <t>pemigatinib</t>
  </si>
  <si>
    <t>Congenital hypo-/afibrinogenaemia</t>
  </si>
  <si>
    <t>Fibriclotte</t>
  </si>
  <si>
    <t>Iqymune</t>
  </si>
  <si>
    <t>Sarclisa (isatuximab)</t>
  </si>
  <si>
    <t>France</t>
  </si>
  <si>
    <t>CEESP</t>
  </si>
  <si>
    <t>Rare Disease</t>
  </si>
  <si>
    <t>Female Health</t>
  </si>
  <si>
    <t>Autoimmune biologics</t>
  </si>
  <si>
    <t>Vaccines</t>
  </si>
  <si>
    <t>CT</t>
  </si>
  <si>
    <t>Diabetes</t>
  </si>
  <si>
    <t>Pain</t>
  </si>
  <si>
    <t>Antibiotics, Antifungals</t>
  </si>
  <si>
    <t>Growth Hormone</t>
  </si>
  <si>
    <t>Rheumatic disorders</t>
  </si>
  <si>
    <t>Immunomodulators</t>
  </si>
  <si>
    <t>Transplantation</t>
  </si>
  <si>
    <t>Erytropoetine (EPO)</t>
  </si>
  <si>
    <t>Urology</t>
  </si>
  <si>
    <t>HIV, Anti-virals</t>
  </si>
  <si>
    <t>Portugal</t>
  </si>
  <si>
    <t>INFARMED</t>
  </si>
  <si>
    <t>Severe Asthma</t>
  </si>
  <si>
    <t>P&amp;R Dossier development + CEM &amp; BIM Adaptation</t>
  </si>
  <si>
    <t>Melanoma</t>
  </si>
  <si>
    <t>Esophagus</t>
  </si>
  <si>
    <t>NSCLC</t>
  </si>
  <si>
    <t>Neurology</t>
  </si>
  <si>
    <t>Multiple Sclerosis</t>
  </si>
  <si>
    <t>Ozanimod</t>
  </si>
  <si>
    <t>Non metastatic prostate cancer</t>
  </si>
  <si>
    <t>Darolutamide</t>
  </si>
  <si>
    <t>Greece</t>
  </si>
  <si>
    <t>Greek HTA Committee</t>
  </si>
  <si>
    <t>Rheumatology</t>
  </si>
  <si>
    <t>Rheumatoid Arthritis</t>
  </si>
  <si>
    <t>Literature review + Expert panel + CEM &amp; BIM adaptation + HTA application form</t>
  </si>
  <si>
    <t>Completed (reimbursed)</t>
  </si>
  <si>
    <t>Olumiant (baricitinib)</t>
  </si>
  <si>
    <t>Cardiology</t>
  </si>
  <si>
    <t>Chronic coronary artery disease (CAD) and peripheral artery disease (PAD)</t>
  </si>
  <si>
    <t>Xarelto (rivaroxaban)</t>
  </si>
  <si>
    <t>Myelodysplastic Syndrome</t>
  </si>
  <si>
    <t>Literature review + Expert panel + BIM development + HTA application form</t>
  </si>
  <si>
    <t>Binocrit (epoetin alpha)</t>
  </si>
  <si>
    <t>Rare disease/ Ophthalmology</t>
  </si>
  <si>
    <t>Vision loss caused by mutations in both copies of the RPE65 gene and sufficient viable retinal cells</t>
  </si>
  <si>
    <t>Completed (under evaluation)</t>
  </si>
  <si>
    <t xml:space="preserve">Luxturna (voretigene neparvovec-rzyl) </t>
  </si>
  <si>
    <t>Migraine</t>
  </si>
  <si>
    <t>Literature review + CEM &amp; BIM adaptation + HTA application form</t>
  </si>
  <si>
    <t>Completed (HTA positive assessment)</t>
  </si>
  <si>
    <t>Ajovy (fremanezumab)</t>
  </si>
  <si>
    <t>Retinopathy of Prematurity (ROP) in premature infants &amp; Diabetic Retinopathy (DR) in people with diabetic macular edema (DME)</t>
  </si>
  <si>
    <t>Literature review + Expert panel + CEM &amp; BIM adaptation + Objection Handler adaptation + Mock negotiation + HTA application form</t>
  </si>
  <si>
    <t>Lucentis (ranibizumab)</t>
  </si>
  <si>
    <t>Wet age-related macular degeneration (AMD)</t>
  </si>
  <si>
    <t>Literature review + Expert panel + CEM, CMM &amp; BIM adaptation + Objection Handler adaptation + Mock negotiation + HTA application form</t>
  </si>
  <si>
    <t>Beovu (brolucizumab)</t>
  </si>
  <si>
    <t xml:space="preserve">BRAF Metastatic Melanoma </t>
  </si>
  <si>
    <t>Literature review + CEM &amp; BIM adaptation + Objection Handler adaptation + Mock negotiation + HTA application form</t>
  </si>
  <si>
    <t>Completed (succesful negotiation)</t>
  </si>
  <si>
    <t>Tafinlar+Mekinist (dabrafenib+trametinib)</t>
  </si>
  <si>
    <t>Secondary progressive multiple sclerosis (SPMS)</t>
  </si>
  <si>
    <t>Mayzent (siponimod)</t>
  </si>
  <si>
    <t>Rare disease/ Rheumatology</t>
  </si>
  <si>
    <t>Oral ulcers associated with Behçet’s Disease</t>
  </si>
  <si>
    <t>Literature review + CEM, CMM &amp; BIM adaptation + HTA application form</t>
  </si>
  <si>
    <t>Otezla (apremilast)</t>
  </si>
  <si>
    <t>Heart Failure with reduced Injection Fraction (HFrEF)</t>
  </si>
  <si>
    <t>Literature review + CEM &amp; BIM adaptation + COI model development + Objection Handler adaptation + Mock negotiation + HTA application form</t>
  </si>
  <si>
    <t>Completed (not submitted yet)</t>
  </si>
  <si>
    <t xml:space="preserve">Entresto (sacubitril/ valsartan) </t>
  </si>
  <si>
    <t>Prophylaxis of venous thromboembolic disease in moderate and high risk surgical patients, in particular those undergoing orthopaedic or general surgery including cancer surgery.
Prophylaxis of venous thromboembolic disease in medical patients with an acute illness (such as acute heart failure, respiratory insufficiency, severe infections or rheumatic diseases) and reduced mobility at increased risk of venous thromboembolism.
Treatment of deep vein thrombosis (DVT) and pulmonary embolism (PE), excluding PE likely to require thrombolytic therapy or surgery.
Prevention of thrombus formation in extracorporeal circulation during haemodialysis.
Acute coronary syndrome:
Treatment of unstable angina and Non ST-segment elevation myocardial infarction (NSTEMI), in combination with oral acetylsalicylic acid
Treatment of acute ST-segment elevation myocardial infarction (STEMI) including patients to be managed medically or with subsequent percutaneous coronary intervention (PCI).</t>
  </si>
  <si>
    <t>Havetra (enoxaparin)</t>
  </si>
  <si>
    <t>Non metastatic castration resistant prostate cancer (nmCRPC)</t>
  </si>
  <si>
    <t>Nubeqa (darolutamide)</t>
  </si>
  <si>
    <t>Solid tumours that display a Neurotrophic Tyrosine Receptor Kinase (NTRK) gene fusion</t>
  </si>
  <si>
    <t>Vitrakvi (larotrectinib)</t>
  </si>
  <si>
    <t>Severe thrombocytopenia in adult patients with chronic liver disease (CLD) who are scheduled to undergo an invasive procedure                                                                                                                                                              Chronic immune thrombocytopenic purpura (ITP) in adult patients who have had an insufficient response to a previous treatment</t>
  </si>
  <si>
    <t>Literature review + Expert panel + CEM &amp; BIM input sheets + HTA application form</t>
  </si>
  <si>
    <t>Dermatology/ Rheumatology</t>
  </si>
  <si>
    <t>Psoriatic Arthritis (PSA)</t>
  </si>
  <si>
    <t>Literature review + Expert panel + CEM, CpR &amp; BIM adaptation + Objection Handler adaptation + Mock negotiation + HTA application form</t>
  </si>
  <si>
    <t>Tremfya (guselkumab)</t>
  </si>
  <si>
    <t>Hematology</t>
  </si>
  <si>
    <t>Graft versus Host Disease (GvHD)</t>
  </si>
  <si>
    <t>Literature review + Expert panel + COI model development</t>
  </si>
  <si>
    <t>Jakavi (ruxolitinib)</t>
  </si>
  <si>
    <t>Stage 1 or 2 polyneuropathy in adult patients with hereditary transthyretin-related amyloidosis (hATTR)</t>
  </si>
  <si>
    <t xml:space="preserve">Literature review + Expert panel + CEM &amp; BIM adaptation </t>
  </si>
  <si>
    <t>Tegsedi (inotersen)</t>
  </si>
  <si>
    <t>Medical device</t>
  </si>
  <si>
    <t>Chronic ulcers</t>
  </si>
  <si>
    <t xml:space="preserve">Literature review + Expert panel + BIM adaptation </t>
  </si>
  <si>
    <t>Cacipliq</t>
  </si>
  <si>
    <t>Surgical operation</t>
  </si>
  <si>
    <t>Bariatric surgery</t>
  </si>
  <si>
    <t>Literature review + Expert panel + BIM development</t>
  </si>
  <si>
    <t>Netherlands</t>
  </si>
  <si>
    <t>Zorginstituut Nederland</t>
  </si>
  <si>
    <t>NTRK+ tumours</t>
  </si>
  <si>
    <t>HTA dossiers (clinical+economic+budget impact), CEM adaptation, BIM adaptation, Ad-board</t>
  </si>
  <si>
    <t>Larotrectinib</t>
  </si>
  <si>
    <t>Psychiatry</t>
  </si>
  <si>
    <t>Treatment resistant depression</t>
  </si>
  <si>
    <t>HTA dossiers (economic+budget impact), CEM adaptation, BIM adaptation, Expert interviews</t>
  </si>
  <si>
    <t>Positive reimbursement advice</t>
  </si>
  <si>
    <t>Esketamine</t>
  </si>
  <si>
    <t>Zorgverzekeraars Nederland</t>
  </si>
  <si>
    <t>Extended adjuvant treatment of patients with early-stage hormone receptor-positive HER2+ breast cancer and who completed adjuvant trastuzumab-based therapy less than 1 year ago</t>
  </si>
  <si>
    <t>Reimbursement request, CEM adaptation, BIM adaptation, Expert interviews</t>
  </si>
  <si>
    <t>XXX</t>
  </si>
  <si>
    <t>Neratinib</t>
  </si>
  <si>
    <t>Routine prophylaxis of bleeding episodes in patients with severe haemophilia A (congenital factor VIII deficiency, FVIII &lt; 1%) without factor VIII inhibitors</t>
  </si>
  <si>
    <t>CEM adaptation, Economic HTA dossier, Expert interviews</t>
  </si>
  <si>
    <t>Reimbursed after price negotiation</t>
  </si>
  <si>
    <t>Emicizumab</t>
  </si>
  <si>
    <t>Patients with cystic fibrosis aged 12 years and older with a heterozygous F508del mutation and on the other allele a mutation associated with residual CFTR function</t>
  </si>
  <si>
    <t>Tezacaftor/ivacaftor</t>
  </si>
  <si>
    <t>Haemato-oncology</t>
  </si>
  <si>
    <t>Relapsed or refractory diffuse large B cell lymphoma (DLBCL) and primary mediastinal large B cell lymphoma (PMBCL), after two or more lines of systemic therapy</t>
  </si>
  <si>
    <t>HTA dossiers (clinical+economic+budget impact), CEM adaptation, BIM adaptation, Expert interviews</t>
  </si>
  <si>
    <t>Axicabtagene ciloleucel (Yescarta®)</t>
  </si>
  <si>
    <t>Metastatic colorectal cancer with a BRAF V600E mutation, who have received prior systemic therapy</t>
  </si>
  <si>
    <t>Encorafenib</t>
  </si>
  <si>
    <t>Relapsed/refractory diffuse large B-cell lymphoma (DLBCL) who are not candidates for haematopoietic stem cell transplant</t>
  </si>
  <si>
    <t>Price negotiation recommended</t>
  </si>
  <si>
    <t>Polatuzumab vedotin</t>
  </si>
  <si>
    <t>ROS1+ NSCLC</t>
  </si>
  <si>
    <t>Clincal HTA dossier</t>
  </si>
  <si>
    <t>Entrectinib</t>
  </si>
  <si>
    <t>Treatment of cystic fibrosis in patients aged 12 years and older who are homozygous for the F508del mutation in the cystic fibrosis transmembrane conductance regulator (CFTR) gene or heterozygous for F508del in the CFTR gene with a minimal function mutation</t>
  </si>
  <si>
    <t>Ivacaftor/tezacaftor/elexacaftor</t>
  </si>
  <si>
    <t>Relapsed/Refractory Mantle Cell Lymphoma</t>
  </si>
  <si>
    <t>KTE-X19 (Tecartus)</t>
  </si>
  <si>
    <t>3L+ triple negative breast cancer</t>
  </si>
  <si>
    <t>Sacituzumab Govitecan-hziy</t>
  </si>
  <si>
    <t>Spinal muscular atrophy</t>
  </si>
  <si>
    <t>Risdiplam</t>
  </si>
  <si>
    <t>Treatment of cystic fibrosis in patients aged 12 years and older who are heterozygous for F508del in the CFTR gene with a residual function or gating mutation</t>
  </si>
  <si>
    <t>Rare disease</t>
  </si>
  <si>
    <t>ANCA-associated vasculitis</t>
  </si>
  <si>
    <t>Clincal + budget impact HTA dossier, BIM adaptation, ad-board</t>
  </si>
  <si>
    <t>Avacopan</t>
  </si>
  <si>
    <t>Czech Republic</t>
  </si>
  <si>
    <t>SUKL</t>
  </si>
  <si>
    <t>Bini Enco</t>
  </si>
  <si>
    <t>Slovakia</t>
  </si>
  <si>
    <t>ŠUKL</t>
  </si>
  <si>
    <t>Regulatory body, if included</t>
  </si>
  <si>
    <t>Product</t>
  </si>
  <si>
    <t>Elrinatamab</t>
  </si>
  <si>
    <t>Breast Cancer</t>
  </si>
  <si>
    <t>MEN1116</t>
  </si>
  <si>
    <t xml:space="preserve">First-line treatment of locally advanced or metastatic urothelial carcinoma </t>
  </si>
  <si>
    <t>Enfortumab vedotin</t>
  </si>
  <si>
    <t>ZIN</t>
  </si>
  <si>
    <t>HAS</t>
  </si>
  <si>
    <t>nemolizumab</t>
  </si>
  <si>
    <t>Nephrology</t>
  </si>
  <si>
    <t>Primary IgA Nephropathy</t>
  </si>
  <si>
    <t>VIS649</t>
  </si>
  <si>
    <t>Elrinatanab</t>
  </si>
  <si>
    <t>COVID-19 infection</t>
  </si>
  <si>
    <t>nAB</t>
  </si>
  <si>
    <t>von Willebrand disease (an inherited bleeding disorder)</t>
  </si>
  <si>
    <t>Veyvondi</t>
  </si>
  <si>
    <t>Advanced renal cell carcinoma</t>
  </si>
  <si>
    <t>Opdivo + Cabozantinib</t>
  </si>
  <si>
    <t xml:space="preserve">Relapsed/refractory AML product </t>
  </si>
  <si>
    <t>Non Hodgkin Lymphoma</t>
  </si>
  <si>
    <t>Unresectable malignant pleural mesothelioma</t>
  </si>
  <si>
    <t>Epilepsy product (update)</t>
  </si>
  <si>
    <t xml:space="preserve">HIV product </t>
  </si>
  <si>
    <t>Hepatocellular cell carcinoma/renal cell carcinoma product</t>
  </si>
  <si>
    <t>Mental illness</t>
  </si>
  <si>
    <t xml:space="preserve">Digital treatment program for depression </t>
  </si>
  <si>
    <t xml:space="preserve">Diabetic peripheral neuropathy/post-herpetic neuralgia product </t>
  </si>
  <si>
    <t xml:space="preserve">Pseudomonas aeruginosa anti-infective product </t>
  </si>
  <si>
    <t xml:space="preserve">Non-small cell lung cancer IO product </t>
  </si>
  <si>
    <t xml:space="preserve">Cutaneous melanoma product </t>
  </si>
  <si>
    <t xml:space="preserve">GLP-1 agonist product in T2DM </t>
  </si>
  <si>
    <t xml:space="preserve">Asthma product </t>
  </si>
  <si>
    <t xml:space="preserve">Chronic Obstructive Pulmonary Disease product </t>
  </si>
  <si>
    <t>Metastatic colorectal cancer product</t>
  </si>
  <si>
    <t>Cardiorenal/Metabolic</t>
  </si>
  <si>
    <t xml:space="preserve">Hyperkalemia product </t>
  </si>
  <si>
    <t>DPP-4 / SGLT-2 combination product in T2DM (update)</t>
  </si>
  <si>
    <t xml:space="preserve">Anticoagulant product in venous thromboembolism </t>
  </si>
  <si>
    <t xml:space="preserve">Mantle Cell Lymphoma product </t>
  </si>
  <si>
    <t xml:space="preserve">Acromegaly product </t>
  </si>
  <si>
    <t>Binimetinib + encorafenib</t>
  </si>
  <si>
    <t xml:space="preserve">Atopic dermatitis </t>
  </si>
  <si>
    <t>CADTH</t>
  </si>
  <si>
    <t>EUnetHTA</t>
  </si>
  <si>
    <t>HER2 negative metastatic gastric and gastroesophageal junction adenocarcinoma</t>
  </si>
  <si>
    <t>IMAB362 as add on to mFOLFOX6 in 1L of CLDN18.2 positive</t>
  </si>
  <si>
    <t>Parallel EMA / HTA</t>
  </si>
  <si>
    <t xml:space="preserve">Various </t>
  </si>
  <si>
    <t>Somatic cell therapy</t>
  </si>
  <si>
    <t xml:space="preserve">EMA’s adaptive pathway process </t>
  </si>
  <si>
    <t>PLacental eXpanded (PLX) cells</t>
  </si>
  <si>
    <t>Row Labels</t>
  </si>
  <si>
    <t>Count of Indication</t>
  </si>
  <si>
    <t>Grand Total</t>
  </si>
  <si>
    <t>Column Labels</t>
  </si>
  <si>
    <t>Number</t>
  </si>
  <si>
    <t>Local HTA submissions</t>
  </si>
  <si>
    <t>AEMPS</t>
  </si>
  <si>
    <t>Total</t>
  </si>
  <si>
    <t>Country</t>
  </si>
  <si>
    <t>All countries</t>
  </si>
  <si>
    <t>Percentage</t>
  </si>
  <si>
    <t>HTA submissions by Year &amp; HTA body</t>
  </si>
  <si>
    <t>HTA submissions by Year &amp; Country</t>
  </si>
  <si>
    <t>HTA submissions by Therapy area &amp; HTA body</t>
  </si>
  <si>
    <t>HTA submissions by therapy area &amp; Year</t>
  </si>
  <si>
    <t>HTA scientific advice</t>
  </si>
  <si>
    <t>HTA scientific advices by Year &amp; HTA body</t>
  </si>
  <si>
    <t>GVDs</t>
  </si>
  <si>
    <t>2012</t>
  </si>
  <si>
    <t>2013</t>
  </si>
  <si>
    <t>2014</t>
  </si>
  <si>
    <t>2015</t>
  </si>
  <si>
    <t>2016</t>
  </si>
  <si>
    <t>2017</t>
  </si>
  <si>
    <t>2018</t>
  </si>
  <si>
    <t>2019</t>
  </si>
  <si>
    <t>2020</t>
  </si>
  <si>
    <t>2021</t>
  </si>
  <si>
    <t>Count of HTA body</t>
  </si>
  <si>
    <t>Count of Year</t>
  </si>
  <si>
    <t>GVDs by Year &amp; Indication</t>
  </si>
  <si>
    <t>Misc</t>
  </si>
  <si>
    <t>HTA scientific advice by therapy area &amp; Year</t>
  </si>
  <si>
    <t>GVDs by therapy area &amp;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</si>
</sst>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name val="Calibri"/>
      <family val="2"/>
      <charset val="161"/>
      <scheme val="minor"/>
    </font>
    <font>
      <sz val="11"/>
      <name val="Calibri"/>
      <family val="2"/>
      <charset val="161"/>
      <scheme val="minor"/>
    </font>
    <font>
      <vertAlign val="superscript"/>
      <sz val="11"/>
      <name val="Calibri"/>
      <family val="2"/>
      <charset val="161"/>
      <scheme val="minor"/>
    </font>
    <font>
      <b/>
      <sz val="20"/>
      <color theme="0"/>
      <name val="Calibri"/>
      <family val="2"/>
      <scheme val="minor"/>
    </font>
    <font>
      <b/>
      <sz val="10"/>
      <name val="Calibri"/>
      <family val="2"/>
      <scheme val="minor"/>
    </font>
    <font>
      <sz val="10"/>
      <name val="Calibri"/>
      <family val="2"/>
      <scheme val="minor"/>
    </font>
    <font>
      <sz val="10"/>
      <color theme="1"/>
      <name val="Calibri"/>
      <family val="2"/>
    </font>
    <font>
      <sz val="11"/>
      <color theme="1"/>
      <name val="Calibri"/>
      <family val="2"/>
      <scheme val="minor"/>
    </font>
    <font>
      <b/>
      <sz val="11"/>
      <color theme="1"/>
      <name val="Calibri"/>
      <family val="2"/>
      <charset val="161"/>
      <scheme val="minor"/>
    </font>
    <font>
      <b/>
      <sz val="11"/>
      <color rgb="FFFF0000"/>
      <name val="Calibri"/>
      <family val="2"/>
      <charset val="161"/>
      <scheme val="minor"/>
    </font>
    <font>
      <sz val="11"/>
      <color rgb="FFFF0000"/>
      <name val="Calibri"/>
      <family val="2"/>
      <scheme val="minor"/>
    </font>
    <font>
      <sz val="10"/>
      <color theme="1"/>
      <name val="Calibri"/>
      <family val="2"/>
      <scheme val="minor"/>
    </font>
    <font>
      <sz val="11"/>
      <color rgb="FF2B3A42"/>
      <name val="Calibri"/>
      <family val="2"/>
    </font>
    <font>
      <sz val="10"/>
      <color theme="1"/>
      <name val="Var(--ff-mono)"/>
    </font>
    <font>
      <b/>
      <sz val="11"/>
      <color theme="0"/>
      <name val="Calibri"/>
      <family val="2"/>
      <charset val="161"/>
      <scheme val="minor"/>
    </font>
    <font>
      <sz val="9"/>
      <color indexed="81"/>
      <name val="Tahoma"/>
      <charset val="1"/>
    </font>
    <font>
      <b/>
      <sz val="9"/>
      <color indexed="81"/>
      <name val="Tahoma"/>
      <charset val="1"/>
    </font>
  </fonts>
  <fills count="8">
    <fill>
      <patternFill patternType="none"/>
    </fill>
    <fill>
      <patternFill patternType="gray125"/>
    </fill>
    <fill>
      <patternFill patternType="solid">
        <fgColor theme="4" tint="0.59999389629810485"/>
        <bgColor indexed="64"/>
      </patternFill>
    </fill>
    <fill>
      <patternFill patternType="solid">
        <fgColor rgb="FF00B0F0"/>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7"/>
        <bgColor indexed="64"/>
      </patternFill>
    </fill>
    <fill>
      <patternFill patternType="solid">
        <fgColor theme="7"/>
        <bgColor theme="4" tint="0.79998168889431442"/>
      </patternFill>
    </fill>
  </fills>
  <borders count="2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style="medium">
        <color indexed="64"/>
      </left>
      <right/>
      <top/>
      <bottom/>
      <diagonal/>
    </border>
    <border>
      <left/>
      <right/>
      <top/>
      <bottom style="thin">
        <color indexed="64"/>
      </bottom>
      <diagonal/>
    </border>
  </borders>
  <cellStyleXfs count="2">
    <xf numFmtId="0" fontId="0" fillId="0" borderId="0"/>
    <xf numFmtId="9" fontId="8" fillId="0" borderId="0" applyFont="0" applyFill="0" applyBorder="0" applyAlignment="0" applyProtection="0"/>
  </cellStyleXfs>
  <cellXfs count="95">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vertical="center"/>
    </xf>
    <xf numFmtId="0" fontId="1" fillId="0" borderId="0" xfId="0" applyFont="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6" fillId="0" borderId="0" xfId="0" applyFont="1" applyAlignment="1">
      <alignment horizontal="center" vertical="center"/>
    </xf>
    <xf numFmtId="0" fontId="6" fillId="0" borderId="0" xfId="0" applyFont="1" applyAlignment="1">
      <alignment vertical="center"/>
    </xf>
    <xf numFmtId="0" fontId="6" fillId="0" borderId="0" xfId="0" applyFont="1" applyAlignment="1">
      <alignment horizontal="left" vertical="center"/>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6" xfId="0" applyFont="1" applyBorder="1" applyAlignment="1">
      <alignment horizontal="center" vertical="center" wrapText="1"/>
    </xf>
    <xf numFmtId="0" fontId="6" fillId="0" borderId="2" xfId="0" applyFont="1" applyBorder="1" applyAlignment="1">
      <alignment horizontal="center" vertical="center" wrapText="1"/>
    </xf>
    <xf numFmtId="0" fontId="9" fillId="4" borderId="10" xfId="0" applyFont="1" applyFill="1" applyBorder="1" applyAlignment="1">
      <alignment horizontal="left" vertical="center"/>
    </xf>
    <xf numFmtId="0" fontId="9" fillId="4" borderId="11" xfId="0" applyFont="1" applyFill="1" applyBorder="1" applyAlignment="1">
      <alignment vertical="center"/>
    </xf>
    <xf numFmtId="0" fontId="9" fillId="4" borderId="12" xfId="0" applyFont="1" applyFill="1" applyBorder="1" applyAlignment="1">
      <alignment vertical="center"/>
    </xf>
    <xf numFmtId="0" fontId="9" fillId="2" borderId="13" xfId="0" applyFont="1" applyFill="1" applyBorder="1" applyAlignment="1">
      <alignment horizontal="left" vertical="center"/>
    </xf>
    <xf numFmtId="0" fontId="0" fillId="0" borderId="13" xfId="0" applyBorder="1" applyAlignment="1">
      <alignment horizontal="center" vertical="center"/>
    </xf>
    <xf numFmtId="0" fontId="10" fillId="0" borderId="13" xfId="0" applyFont="1" applyBorder="1" applyAlignment="1">
      <alignment horizontal="center" vertical="center"/>
    </xf>
    <xf numFmtId="0" fontId="11" fillId="0" borderId="13" xfId="0" applyFont="1" applyBorder="1" applyAlignment="1">
      <alignment horizontal="center" vertical="center"/>
    </xf>
    <xf numFmtId="0" fontId="9" fillId="2" borderId="14" xfId="0" applyFont="1" applyFill="1" applyBorder="1" applyAlignment="1">
      <alignment horizontal="center" vertical="center"/>
    </xf>
    <xf numFmtId="0" fontId="1" fillId="2" borderId="14" xfId="0" applyFont="1" applyFill="1" applyBorder="1" applyAlignment="1">
      <alignment horizontal="center" vertical="center"/>
    </xf>
    <xf numFmtId="10" fontId="10" fillId="0" borderId="13" xfId="1" applyNumberFormat="1" applyFont="1" applyBorder="1" applyAlignment="1">
      <alignment horizontal="center" vertical="center"/>
    </xf>
    <xf numFmtId="0" fontId="4" fillId="3" borderId="0" xfId="0" applyFont="1" applyFill="1" applyBorder="1" applyAlignment="1">
      <alignment vertical="center"/>
    </xf>
    <xf numFmtId="0" fontId="0" fillId="0" borderId="15" xfId="0" applyBorder="1"/>
    <xf numFmtId="0" fontId="5" fillId="2" borderId="5" xfId="0" applyFont="1" applyFill="1" applyBorder="1" applyAlignment="1">
      <alignment horizontal="center" vertical="center"/>
    </xf>
    <xf numFmtId="0" fontId="5" fillId="2" borderId="4" xfId="0" applyFont="1" applyFill="1" applyBorder="1" applyAlignment="1">
      <alignment horizontal="center" vertical="center"/>
    </xf>
    <xf numFmtId="0" fontId="6" fillId="0" borderId="3" xfId="0" applyFont="1" applyBorder="1" applyAlignment="1">
      <alignment horizontal="left" vertical="center"/>
    </xf>
    <xf numFmtId="0" fontId="6" fillId="0" borderId="1" xfId="0" applyFont="1" applyBorder="1" applyAlignment="1">
      <alignment horizontal="left" vertical="center"/>
    </xf>
    <xf numFmtId="0" fontId="6" fillId="0" borderId="6" xfId="0" applyFont="1" applyBorder="1" applyAlignment="1">
      <alignment horizontal="left" vertical="center"/>
    </xf>
    <xf numFmtId="0" fontId="6" fillId="0" borderId="2" xfId="0" applyFont="1" applyBorder="1" applyAlignment="1">
      <alignment horizontal="left" vertical="center"/>
    </xf>
    <xf numFmtId="0" fontId="12" fillId="0" borderId="0" xfId="0" applyFont="1"/>
    <xf numFmtId="0" fontId="9" fillId="2" borderId="12" xfId="0" applyFont="1" applyFill="1" applyBorder="1" applyAlignment="1">
      <alignment horizontal="left" vertical="center"/>
    </xf>
    <xf numFmtId="0" fontId="10" fillId="0" borderId="10" xfId="0" applyFont="1" applyBorder="1" applyAlignment="1">
      <alignment horizontal="center" vertical="center"/>
    </xf>
    <xf numFmtId="0" fontId="10" fillId="2" borderId="16" xfId="0" applyFont="1" applyFill="1" applyBorder="1" applyAlignment="1">
      <alignment horizontal="left"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9" fillId="2" borderId="22" xfId="0" applyFont="1" applyFill="1" applyBorder="1" applyAlignment="1">
      <alignment horizontal="left" vertical="center"/>
    </xf>
    <xf numFmtId="0" fontId="10" fillId="2" borderId="21" xfId="0" applyFont="1" applyFill="1" applyBorder="1" applyAlignment="1">
      <alignment horizontal="center" vertical="center"/>
    </xf>
    <xf numFmtId="0" fontId="1" fillId="2" borderId="21" xfId="0" applyFont="1" applyFill="1" applyBorder="1" applyAlignment="1">
      <alignment horizontal="center" vertical="center"/>
    </xf>
    <xf numFmtId="0" fontId="9" fillId="4" borderId="18" xfId="0" applyFont="1" applyFill="1" applyBorder="1" applyAlignment="1">
      <alignment vertical="center"/>
    </xf>
    <xf numFmtId="0" fontId="9" fillId="4" borderId="19" xfId="0" applyFont="1" applyFill="1" applyBorder="1" applyAlignment="1">
      <alignment vertical="center"/>
    </xf>
    <xf numFmtId="0" fontId="9" fillId="4" borderId="16" xfId="0" applyFont="1" applyFill="1" applyBorder="1" applyAlignment="1">
      <alignment vertical="center"/>
    </xf>
    <xf numFmtId="0" fontId="1" fillId="2" borderId="14" xfId="0" applyFont="1" applyFill="1" applyBorder="1" applyAlignment="1">
      <alignment horizontal="center" vertical="center" wrapText="1"/>
    </xf>
    <xf numFmtId="0" fontId="9" fillId="2" borderId="20" xfId="0" applyFont="1" applyFill="1" applyBorder="1" applyAlignment="1">
      <alignment horizontal="left" vertical="center"/>
    </xf>
    <xf numFmtId="0" fontId="9" fillId="4" borderId="18" xfId="0" applyFont="1" applyFill="1" applyBorder="1" applyAlignment="1">
      <alignment horizontal="left" vertical="center"/>
    </xf>
    <xf numFmtId="49" fontId="9" fillId="2" borderId="22" xfId="0" applyNumberFormat="1" applyFont="1" applyFill="1" applyBorder="1" applyAlignment="1">
      <alignment horizontal="left" vertical="center"/>
    </xf>
    <xf numFmtId="49" fontId="1" fillId="2" borderId="14" xfId="0" applyNumberFormat="1" applyFont="1" applyFill="1" applyBorder="1" applyAlignment="1">
      <alignment horizontal="center" vertical="center"/>
    </xf>
    <xf numFmtId="49" fontId="10" fillId="2" borderId="14" xfId="0" applyNumberFormat="1" applyFont="1" applyFill="1" applyBorder="1" applyAlignment="1">
      <alignment horizontal="center" vertical="center"/>
    </xf>
    <xf numFmtId="0" fontId="10" fillId="2" borderId="14" xfId="0" applyFont="1" applyFill="1" applyBorder="1" applyAlignment="1">
      <alignment horizontal="center" vertical="center"/>
    </xf>
    <xf numFmtId="10" fontId="10" fillId="0" borderId="10" xfId="1" applyNumberFormat="1" applyFont="1" applyBorder="1" applyAlignment="1">
      <alignment horizontal="center" vertical="center"/>
    </xf>
    <xf numFmtId="0" fontId="9" fillId="2" borderId="16" xfId="0" applyFont="1" applyFill="1" applyBorder="1" applyAlignment="1">
      <alignment horizontal="left" vertical="center"/>
    </xf>
    <xf numFmtId="0" fontId="0" fillId="0" borderId="17" xfId="0" applyBorder="1" applyAlignment="1">
      <alignment horizontal="center" vertical="center"/>
    </xf>
    <xf numFmtId="10" fontId="10" fillId="0" borderId="18" xfId="1" applyNumberFormat="1" applyFont="1" applyBorder="1" applyAlignment="1">
      <alignment horizontal="center" vertical="center"/>
    </xf>
    <xf numFmtId="0" fontId="2" fillId="0" borderId="7" xfId="0" applyFont="1" applyBorder="1" applyAlignment="1">
      <alignment horizontal="left" vertical="center"/>
    </xf>
    <xf numFmtId="0" fontId="2" fillId="5" borderId="7" xfId="0" applyFont="1" applyFill="1" applyBorder="1" applyAlignment="1">
      <alignment horizontal="center" vertical="center"/>
    </xf>
    <xf numFmtId="0" fontId="2" fillId="5" borderId="7" xfId="0" applyFont="1" applyFill="1" applyBorder="1" applyAlignment="1">
      <alignment horizontal="left" vertical="center"/>
    </xf>
    <xf numFmtId="0" fontId="2" fillId="0" borderId="7" xfId="0" applyFont="1" applyBorder="1" applyAlignment="1">
      <alignment horizontal="center" vertical="center"/>
    </xf>
    <xf numFmtId="0" fontId="13" fillId="5" borderId="7" xfId="0" applyFont="1" applyFill="1" applyBorder="1" applyAlignment="1">
      <alignment wrapText="1"/>
    </xf>
    <xf numFmtId="0" fontId="1" fillId="5" borderId="23" xfId="0" applyFont="1" applyFill="1" applyBorder="1" applyAlignment="1">
      <alignment horizontal="center" vertical="center"/>
    </xf>
    <xf numFmtId="0" fontId="1" fillId="0" borderId="23" xfId="0" applyFont="1" applyBorder="1" applyAlignment="1">
      <alignment horizontal="center" vertical="center"/>
    </xf>
    <xf numFmtId="0" fontId="1" fillId="2" borderId="0" xfId="0" applyFont="1" applyFill="1" applyBorder="1" applyAlignment="1">
      <alignment horizontal="center" vertical="center"/>
    </xf>
    <xf numFmtId="0" fontId="1" fillId="2" borderId="24" xfId="0" applyFont="1" applyFill="1" applyBorder="1" applyAlignment="1">
      <alignment horizontal="center" vertical="center"/>
    </xf>
    <xf numFmtId="0" fontId="14" fillId="0" borderId="0" xfId="0" applyFont="1" applyAlignment="1">
      <alignment horizontal="left" vertical="center" indent="1"/>
    </xf>
    <xf numFmtId="0" fontId="10" fillId="2" borderId="13" xfId="0" applyFont="1" applyFill="1" applyBorder="1" applyAlignment="1">
      <alignment horizontal="left" vertical="center"/>
    </xf>
    <xf numFmtId="0" fontId="10" fillId="5" borderId="13" xfId="0" applyFont="1" applyFill="1" applyBorder="1" applyAlignment="1">
      <alignment horizontal="center" vertical="center"/>
    </xf>
    <xf numFmtId="0" fontId="0" fillId="5" borderId="18" xfId="0" applyFont="1" applyFill="1" applyBorder="1" applyAlignment="1">
      <alignment horizontal="center" vertical="center"/>
    </xf>
    <xf numFmtId="0" fontId="0" fillId="0" borderId="18" xfId="0" applyFont="1" applyBorder="1" applyAlignment="1">
      <alignment horizontal="center" vertical="center"/>
    </xf>
    <xf numFmtId="0" fontId="0" fillId="0" borderId="10" xfId="0" applyFont="1" applyBorder="1" applyAlignment="1">
      <alignment horizontal="center" vertical="center"/>
    </xf>
    <xf numFmtId="0" fontId="9" fillId="2" borderId="19" xfId="0" applyFont="1" applyFill="1" applyBorder="1" applyAlignment="1">
      <alignment horizontal="left" vertical="center"/>
    </xf>
    <xf numFmtId="0" fontId="9" fillId="2" borderId="11" xfId="0" applyFont="1" applyFill="1" applyBorder="1" applyAlignment="1">
      <alignment horizontal="left" vertical="center"/>
    </xf>
    <xf numFmtId="10" fontId="10" fillId="5" borderId="18" xfId="1" applyNumberFormat="1" applyFont="1" applyFill="1" applyBorder="1" applyAlignment="1">
      <alignment horizontal="center" vertical="center"/>
    </xf>
    <xf numFmtId="0" fontId="15" fillId="2" borderId="0" xfId="0" applyFont="1" applyFill="1" applyBorder="1" applyAlignment="1">
      <alignment horizontal="left" vertical="center"/>
    </xf>
    <xf numFmtId="0" fontId="1" fillId="2" borderId="15" xfId="0" applyFont="1" applyFill="1" applyBorder="1" applyAlignment="1">
      <alignment horizontal="center" vertical="center"/>
    </xf>
    <xf numFmtId="0" fontId="10" fillId="2" borderId="15" xfId="0" applyFont="1" applyFill="1" applyBorder="1" applyAlignment="1">
      <alignment horizontal="center" vertical="center"/>
    </xf>
    <xf numFmtId="0" fontId="9" fillId="4" borderId="15" xfId="0" applyFont="1" applyFill="1" applyBorder="1" applyAlignment="1">
      <alignment vertical="center"/>
    </xf>
    <xf numFmtId="0" fontId="9" fillId="4" borderId="0" xfId="0" applyFont="1" applyFill="1" applyBorder="1" applyAlignment="1">
      <alignment vertical="center"/>
    </xf>
    <xf numFmtId="0" fontId="4" fillId="3" borderId="25" xfId="0" applyFont="1" applyFill="1" applyBorder="1" applyAlignment="1">
      <alignment vertical="center"/>
    </xf>
    <xf numFmtId="0" fontId="1" fillId="2" borderId="22" xfId="0" applyFont="1" applyFill="1" applyBorder="1" applyAlignment="1">
      <alignment horizontal="left" vertical="center"/>
    </xf>
    <xf numFmtId="0" fontId="1" fillId="6" borderId="24" xfId="0" applyFont="1" applyFill="1" applyBorder="1" applyAlignment="1">
      <alignment horizontal="center" vertical="center"/>
    </xf>
    <xf numFmtId="0" fontId="2" fillId="7" borderId="7" xfId="0" applyFont="1" applyFill="1" applyBorder="1" applyAlignment="1">
      <alignment horizontal="left" vertical="center"/>
    </xf>
    <xf numFmtId="0" fontId="2" fillId="6" borderId="7" xfId="0" applyFont="1" applyFill="1" applyBorder="1" applyAlignment="1">
      <alignment horizontal="left" vertical="center"/>
    </xf>
    <xf numFmtId="0" fontId="2" fillId="6" borderId="0" xfId="0" applyFont="1" applyFill="1" applyAlignment="1">
      <alignment horizontal="left" vertical="center"/>
    </xf>
    <xf numFmtId="0" fontId="5" fillId="6" borderId="5"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6" borderId="0"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6" borderId="0" xfId="0" applyFont="1" applyFill="1" applyAlignment="1">
      <alignment horizontal="left" vertical="center"/>
    </xf>
    <xf numFmtId="0" fontId="5" fillId="6" borderId="8" xfId="0" applyFont="1" applyFill="1" applyBorder="1" applyAlignment="1">
      <alignment horizontal="center" vertical="center"/>
    </xf>
    <xf numFmtId="0" fontId="6" fillId="6" borderId="9" xfId="0" applyFont="1" applyFill="1" applyBorder="1" applyAlignment="1">
      <alignment horizontal="left" vertical="center"/>
    </xf>
    <xf numFmtId="0" fontId="6" fillId="6" borderId="7" xfId="0" applyFont="1" applyFill="1" applyBorder="1" applyAlignment="1">
      <alignment horizontal="left" vertical="center"/>
    </xf>
  </cellXfs>
  <cellStyles count="2">
    <cellStyle name="Normal" xfId="0" builtinId="0"/>
    <cellStyle name="Percent" xfId="1" builtinId="5"/>
  </cellStyles>
  <dxfs count="153">
    <dxf>
      <font>
        <b val="0"/>
        <i val="0"/>
        <strike val="0"/>
        <condense val="0"/>
        <extend val="0"/>
        <outline val="0"/>
        <shadow val="0"/>
        <u val="none"/>
        <vertAlign val="baseline"/>
        <sz val="10"/>
        <color auto="1"/>
        <name val="Calibri"/>
        <family val="2"/>
        <scheme val="minor"/>
      </font>
      <fill>
        <patternFill>
          <fgColor indexed="64"/>
          <bgColor theme="7"/>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auto="1"/>
        <name val="Calibri"/>
        <scheme val="minor"/>
      </font>
      <fill>
        <patternFill>
          <fgColor indexed="64"/>
          <bgColor theme="7"/>
        </patternFill>
      </fill>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auto="1"/>
        <name val="Calibri"/>
        <family val="2"/>
        <charset val="161"/>
        <scheme val="minor"/>
      </font>
      <fill>
        <patternFill patternType="solid">
          <fgColor theme="4" tint="0.79998168889431442"/>
          <bgColor theme="7"/>
        </patternFill>
      </fill>
      <alignment horizontal="left" vertical="center" textRotation="0" wrapText="0" indent="0" justifyLastLine="0" shrinkToFit="0" readingOrder="0"/>
      <border diagonalUp="0" diagonalDown="0" outline="0">
        <left style="medium">
          <color indexed="64"/>
        </left>
        <right/>
        <top style="medium">
          <color indexed="64"/>
        </top>
        <bottom/>
      </border>
    </dxf>
    <dxf>
      <font>
        <b/>
        <i val="0"/>
        <strike val="0"/>
        <condense val="0"/>
        <extend val="0"/>
        <outline val="0"/>
        <shadow val="0"/>
        <u val="none"/>
        <vertAlign val="baseline"/>
        <sz val="11"/>
        <color rgb="FFFF0000"/>
        <name val="Calibri"/>
        <family val="2"/>
        <charset val="161"/>
        <scheme val="minor"/>
      </font>
      <numFmt numFmtId="14"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family val="2"/>
        <charset val="161"/>
        <scheme val="minor"/>
      </font>
      <fill>
        <patternFill patternType="solid">
          <fgColor indexed="64"/>
          <bgColor theme="4" tint="0.59999389629810485"/>
        </patternFill>
      </fill>
      <alignment horizontal="left"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rder>
    </dxf>
    <dxf>
      <font>
        <b/>
        <i val="0"/>
        <strike val="0"/>
        <condense val="0"/>
        <extend val="0"/>
        <outline val="0"/>
        <shadow val="0"/>
        <u val="none"/>
        <vertAlign val="baseline"/>
        <sz val="11"/>
        <color auto="1"/>
        <name val="Calibri"/>
        <family val="2"/>
        <charset val="161"/>
        <scheme val="minor"/>
      </font>
      <fill>
        <patternFill patternType="solid">
          <fgColor indexed="64"/>
          <bgColor theme="4" tint="0.59999389629810485"/>
        </patternFill>
      </fill>
      <alignment horizontal="center" vertical="center" textRotation="0" wrapText="0" indent="0" justifyLastLine="0" shrinkToFit="0" readingOrder="0"/>
    </dxf>
    <dxf>
      <font>
        <b/>
        <i val="0"/>
        <strike val="0"/>
        <condense val="0"/>
        <extend val="0"/>
        <outline val="0"/>
        <shadow val="0"/>
        <u val="none"/>
        <vertAlign val="baseline"/>
        <sz val="11"/>
        <color rgb="FFFF0000"/>
        <name val="Calibri"/>
        <family val="2"/>
        <charset val="161"/>
        <scheme val="minor"/>
      </font>
      <numFmt numFmtId="14"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charset val="161"/>
        <scheme val="minor"/>
      </font>
      <numFmt numFmtId="0" formatCode="General"/>
      <fill>
        <patternFill patternType="solid">
          <fgColor indexed="64"/>
          <bgColor theme="4" tint="0.59999389629810485"/>
        </patternFill>
      </fill>
      <alignment horizontal="left" vertical="center" textRotation="0" wrapText="0" indent="0" justifyLastLine="0" shrinkToFit="0" readingOrder="0"/>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charset val="161"/>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FF0000"/>
        <name val="Calibri"/>
        <family val="2"/>
        <charset val="161"/>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charset val="161"/>
        <scheme val="minor"/>
      </font>
      <fill>
        <patternFill patternType="solid">
          <fgColor indexed="64"/>
          <bgColor theme="4" tint="0.5999938962981048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charset val="161"/>
        <scheme val="minor"/>
      </font>
      <numFmt numFmtId="30" formatCode="@"/>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FF0000"/>
        <name val="Calibri"/>
        <family val="2"/>
        <charset val="161"/>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charset val="161"/>
        <scheme val="minor"/>
      </font>
      <fill>
        <patternFill patternType="solid">
          <fgColor indexed="64"/>
          <bgColor theme="4" tint="0.5999938962981048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charset val="161"/>
        <scheme val="minor"/>
      </font>
      <numFmt numFmtId="30" formatCode="@"/>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FF0000"/>
        <name val="Calibri"/>
        <family val="2"/>
        <charset val="161"/>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charset val="161"/>
        <scheme val="minor"/>
      </font>
      <fill>
        <patternFill patternType="solid">
          <fgColor indexed="64"/>
          <bgColor theme="4" tint="0.5999938962981048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charset val="161"/>
        <scheme val="minor"/>
      </font>
      <numFmt numFmtId="30" formatCode="@"/>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FF0000"/>
        <name val="Calibri"/>
        <family val="2"/>
        <charset val="161"/>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charset val="161"/>
        <scheme val="minor"/>
      </font>
      <fill>
        <patternFill patternType="solid">
          <fgColor indexed="64"/>
          <bgColor theme="4" tint="0.5999938962981048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charset val="161"/>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FF0000"/>
        <name val="Calibri"/>
        <family val="2"/>
        <charset val="161"/>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charset val="161"/>
        <scheme val="minor"/>
      </font>
      <fill>
        <patternFill patternType="solid">
          <fgColor indexed="64"/>
          <bgColor theme="4" tint="0.5999938962981048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charset val="161"/>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FF0000"/>
        <name val="Calibri"/>
        <family val="2"/>
        <charset val="161"/>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charset val="161"/>
        <scheme val="minor"/>
      </font>
      <fill>
        <patternFill patternType="solid">
          <fgColor indexed="64"/>
          <bgColor theme="4" tint="0.5999938962981048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right style="medium">
          <color indexed="64"/>
        </right>
        <top style="medium">
          <color indexed="64"/>
        </top>
        <bottom style="medium">
          <color indexed="64"/>
        </bottom>
      </border>
    </dxf>
    <dxf>
      <border outline="0">
        <top style="medium">
          <color indexed="64"/>
        </top>
      </border>
    </dxf>
    <dxf>
      <border outline="0">
        <left style="medium">
          <color indexed="64"/>
        </left>
        <right style="medium">
          <color indexed="64"/>
        </right>
        <top style="medium">
          <color indexed="64"/>
        </top>
        <bottom style="medium">
          <color indexed="64"/>
        </bottom>
      </border>
    </dxf>
    <dxf>
      <font>
        <strike val="0"/>
        <outline val="0"/>
        <shadow val="0"/>
        <u val="none"/>
        <vertAlign val="baseline"/>
        <sz val="10"/>
        <name val="Calibri"/>
        <family val="2"/>
        <scheme val="minor"/>
      </font>
      <alignment horizontal="left"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0"/>
        <color auto="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auto="1"/>
        <name val="Calibri"/>
        <scheme val="minor"/>
      </font>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auto="1"/>
        <name val="Calibri"/>
        <scheme val="minor"/>
      </font>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auto="1"/>
        <name val="Calibri"/>
        <scheme val="minor"/>
      </font>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auto="1"/>
        <name val="Calibri"/>
        <scheme val="minor"/>
      </font>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auto="1"/>
        <name val="Calibri"/>
        <scheme val="minor"/>
      </font>
      <alignment horizontal="center" vertical="center" textRotation="0" wrapText="1" indent="0" justifyLastLine="0" shrinkToFit="0" readingOrder="0"/>
      <border diagonalUp="0" diagonalDown="0" outline="0">
        <left/>
        <right style="medium">
          <color indexed="64"/>
        </right>
        <top style="medium">
          <color indexed="64"/>
        </top>
        <bottom style="medium">
          <color indexed="64"/>
        </bottom>
      </border>
    </dxf>
    <dxf>
      <border outline="0">
        <left style="medium">
          <color indexed="64"/>
        </left>
        <top style="medium">
          <color indexed="64"/>
        </top>
        <bottom style="medium">
          <color indexed="64"/>
        </bottom>
      </border>
    </dxf>
    <dxf>
      <font>
        <b val="0"/>
        <i val="0"/>
        <strike val="0"/>
        <condense val="0"/>
        <extend val="0"/>
        <outline val="0"/>
        <shadow val="0"/>
        <u val="none"/>
        <vertAlign val="baseline"/>
        <sz val="10"/>
        <color auto="1"/>
        <name val="Calibri"/>
        <scheme val="minor"/>
      </font>
      <alignment horizontal="center"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0"/>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auto="1"/>
        <name val="Calibri"/>
        <family val="2"/>
        <charset val="161"/>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auto="1"/>
        <name val="Calibri"/>
        <family val="2"/>
        <charset val="161"/>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auto="1"/>
        <name val="Calibri"/>
        <family val="2"/>
        <charset val="161"/>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auto="1"/>
        <name val="Calibri"/>
        <family val="2"/>
        <charset val="161"/>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auto="1"/>
        <name val="Calibri"/>
        <family val="2"/>
        <charset val="161"/>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auto="1"/>
        <name val="Calibri"/>
        <family val="2"/>
        <charset val="161"/>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i val="0"/>
        <strike val="0"/>
        <condense val="0"/>
        <extend val="0"/>
        <outline val="0"/>
        <shadow val="0"/>
        <u val="none"/>
        <vertAlign val="baseline"/>
        <sz val="11"/>
        <color auto="1"/>
        <name val="Calibri"/>
        <family val="2"/>
        <charset val="161"/>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medium">
          <color indexed="64"/>
        </top>
        <bottom/>
        <vertical/>
        <horizontal/>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auto="1"/>
        <name val="Calibri"/>
        <family val="2"/>
        <charset val="161"/>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colors>
    <mruColors>
      <color rgb="FF9E48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'By year'!$B$5</c:f>
              <c:strCache>
                <c:ptCount val="1"/>
                <c:pt idx="0">
                  <c:v>NICE</c:v>
                </c:pt>
              </c:strCache>
            </c:strRef>
          </c:tx>
          <c:spPr>
            <a:solidFill>
              <a:schemeClr val="accent1"/>
            </a:solidFill>
            <a:ln>
              <a:noFill/>
            </a:ln>
            <a:effectLst/>
          </c:spPr>
          <c:invertIfNegative val="0"/>
          <c:cat>
            <c:strRef>
              <c:extLst>
                <c:ext xmlns:c15="http://schemas.microsoft.com/office/drawing/2012/chart" uri="{02D57815-91ED-43cb-92C2-25804820EDAC}">
                  <c15:fullRef>
                    <c15:sqref>'By year'!$A$6:$A$18</c15:sqref>
                  </c15:fullRef>
                </c:ext>
              </c:extLst>
              <c:f>'By year'!$A$6:$A$17</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extLst>
                <c:ext xmlns:c15="http://schemas.microsoft.com/office/drawing/2012/chart" uri="{02D57815-91ED-43cb-92C2-25804820EDAC}">
                  <c15:fullRef>
                    <c15:sqref>'By year'!$B$6:$B$18</c15:sqref>
                  </c15:fullRef>
                </c:ext>
              </c:extLst>
              <c:f>'By year'!$B$6:$B$17</c:f>
              <c:numCache>
                <c:formatCode>General</c:formatCode>
                <c:ptCount val="10"/>
                <c:pt idx="0">
                  <c:v>4</c:v>
                </c:pt>
                <c:pt idx="1">
                  <c:v>5</c:v>
                </c:pt>
                <c:pt idx="2">
                  <c:v>3</c:v>
                </c:pt>
                <c:pt idx="3">
                  <c:v>5</c:v>
                </c:pt>
                <c:pt idx="4">
                  <c:v>3</c:v>
                </c:pt>
                <c:pt idx="5">
                  <c:v>5</c:v>
                </c:pt>
                <c:pt idx="6">
                  <c:v>4</c:v>
                </c:pt>
                <c:pt idx="7">
                  <c:v>9</c:v>
                </c:pt>
                <c:pt idx="8">
                  <c:v>5</c:v>
                </c:pt>
                <c:pt idx="9">
                  <c:v>7</c:v>
                </c:pt>
              </c:numCache>
            </c:numRef>
          </c:val>
          <c:extLst>
            <c:ext xmlns:c16="http://schemas.microsoft.com/office/drawing/2014/chart" uri="{C3380CC4-5D6E-409C-BE32-E72D297353CC}">
              <c16:uniqueId val="{00000000-32CF-4396-B3EE-7241294C1681}"/>
            </c:ext>
          </c:extLst>
        </c:ser>
        <c:ser>
          <c:idx val="1"/>
          <c:order val="1"/>
          <c:tx>
            <c:strRef>
              <c:f>'By year'!$C$5</c:f>
              <c:strCache>
                <c:ptCount val="1"/>
                <c:pt idx="0">
                  <c:v>SMC</c:v>
                </c:pt>
              </c:strCache>
            </c:strRef>
          </c:tx>
          <c:spPr>
            <a:solidFill>
              <a:schemeClr val="accent2"/>
            </a:solidFill>
            <a:ln>
              <a:noFill/>
            </a:ln>
            <a:effectLst/>
          </c:spPr>
          <c:invertIfNegative val="0"/>
          <c:cat>
            <c:strRef>
              <c:extLst>
                <c:ext xmlns:c15="http://schemas.microsoft.com/office/drawing/2012/chart" uri="{02D57815-91ED-43cb-92C2-25804820EDAC}">
                  <c15:fullRef>
                    <c15:sqref>'By year'!$A$6:$A$18</c15:sqref>
                  </c15:fullRef>
                </c:ext>
              </c:extLst>
              <c:f>'By year'!$A$6:$A$17</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extLst>
                <c:ext xmlns:c15="http://schemas.microsoft.com/office/drawing/2012/chart" uri="{02D57815-91ED-43cb-92C2-25804820EDAC}">
                  <c15:fullRef>
                    <c15:sqref>'By year'!$C$6:$C$18</c15:sqref>
                  </c15:fullRef>
                </c:ext>
              </c:extLst>
              <c:f>'By year'!$C$6:$C$17</c:f>
              <c:numCache>
                <c:formatCode>General</c:formatCode>
                <c:ptCount val="10"/>
                <c:pt idx="0">
                  <c:v>2</c:v>
                </c:pt>
                <c:pt idx="1">
                  <c:v>1</c:v>
                </c:pt>
                <c:pt idx="2">
                  <c:v>0</c:v>
                </c:pt>
                <c:pt idx="3">
                  <c:v>9</c:v>
                </c:pt>
                <c:pt idx="4">
                  <c:v>1</c:v>
                </c:pt>
                <c:pt idx="5">
                  <c:v>1</c:v>
                </c:pt>
                <c:pt idx="6">
                  <c:v>2</c:v>
                </c:pt>
                <c:pt idx="7">
                  <c:v>3</c:v>
                </c:pt>
                <c:pt idx="8">
                  <c:v>3</c:v>
                </c:pt>
                <c:pt idx="9">
                  <c:v>5</c:v>
                </c:pt>
              </c:numCache>
            </c:numRef>
          </c:val>
          <c:extLst>
            <c:ext xmlns:c16="http://schemas.microsoft.com/office/drawing/2014/chart" uri="{C3380CC4-5D6E-409C-BE32-E72D297353CC}">
              <c16:uniqueId val="{00000001-32CF-4396-B3EE-7241294C1681}"/>
            </c:ext>
          </c:extLst>
        </c:ser>
        <c:ser>
          <c:idx val="2"/>
          <c:order val="2"/>
          <c:tx>
            <c:strRef>
              <c:f>'By year'!$D$5</c:f>
              <c:strCache>
                <c:ptCount val="1"/>
                <c:pt idx="0">
                  <c:v>AWMSG</c:v>
                </c:pt>
              </c:strCache>
            </c:strRef>
          </c:tx>
          <c:spPr>
            <a:solidFill>
              <a:schemeClr val="accent3"/>
            </a:solidFill>
            <a:ln>
              <a:noFill/>
            </a:ln>
            <a:effectLst/>
          </c:spPr>
          <c:invertIfNegative val="0"/>
          <c:cat>
            <c:strRef>
              <c:extLst>
                <c:ext xmlns:c15="http://schemas.microsoft.com/office/drawing/2012/chart" uri="{02D57815-91ED-43cb-92C2-25804820EDAC}">
                  <c15:fullRef>
                    <c15:sqref>'By year'!$A$6:$A$18</c15:sqref>
                  </c15:fullRef>
                </c:ext>
              </c:extLst>
              <c:f>'By year'!$A$6:$A$17</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extLst>
                <c:ext xmlns:c15="http://schemas.microsoft.com/office/drawing/2012/chart" uri="{02D57815-91ED-43cb-92C2-25804820EDAC}">
                  <c15:fullRef>
                    <c15:sqref>'By year'!$D$6:$D$18</c15:sqref>
                  </c15:fullRef>
                </c:ext>
              </c:extLst>
              <c:f>'By year'!$D$6:$D$17</c:f>
              <c:numCache>
                <c:formatCode>General</c:formatCode>
                <c:ptCount val="10"/>
                <c:pt idx="0">
                  <c:v>0</c:v>
                </c:pt>
                <c:pt idx="1">
                  <c:v>1</c:v>
                </c:pt>
                <c:pt idx="2">
                  <c:v>0</c:v>
                </c:pt>
                <c:pt idx="3">
                  <c:v>1</c:v>
                </c:pt>
                <c:pt idx="4">
                  <c:v>1</c:v>
                </c:pt>
                <c:pt idx="5">
                  <c:v>0</c:v>
                </c:pt>
                <c:pt idx="6">
                  <c:v>2</c:v>
                </c:pt>
                <c:pt idx="7">
                  <c:v>1</c:v>
                </c:pt>
                <c:pt idx="8">
                  <c:v>0</c:v>
                </c:pt>
                <c:pt idx="9">
                  <c:v>0</c:v>
                </c:pt>
              </c:numCache>
            </c:numRef>
          </c:val>
          <c:extLst>
            <c:ext xmlns:c16="http://schemas.microsoft.com/office/drawing/2014/chart" uri="{C3380CC4-5D6E-409C-BE32-E72D297353CC}">
              <c16:uniqueId val="{00000002-32CF-4396-B3EE-7241294C1681}"/>
            </c:ext>
          </c:extLst>
        </c:ser>
        <c:ser>
          <c:idx val="3"/>
          <c:order val="3"/>
          <c:tx>
            <c:strRef>
              <c:f>'By year'!$E$5</c:f>
              <c:strCache>
                <c:ptCount val="1"/>
                <c:pt idx="0">
                  <c:v>NCPE</c:v>
                </c:pt>
              </c:strCache>
            </c:strRef>
          </c:tx>
          <c:spPr>
            <a:solidFill>
              <a:schemeClr val="accent4"/>
            </a:solidFill>
            <a:ln>
              <a:noFill/>
            </a:ln>
            <a:effectLst/>
          </c:spPr>
          <c:invertIfNegative val="0"/>
          <c:cat>
            <c:strRef>
              <c:extLst>
                <c:ext xmlns:c15="http://schemas.microsoft.com/office/drawing/2012/chart" uri="{02D57815-91ED-43cb-92C2-25804820EDAC}">
                  <c15:fullRef>
                    <c15:sqref>'By year'!$A$6:$A$18</c15:sqref>
                  </c15:fullRef>
                </c:ext>
              </c:extLst>
              <c:f>'By year'!$A$6:$A$17</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extLst>
                <c:ext xmlns:c15="http://schemas.microsoft.com/office/drawing/2012/chart" uri="{02D57815-91ED-43cb-92C2-25804820EDAC}">
                  <c15:fullRef>
                    <c15:sqref>'By year'!$E$6:$E$18</c15:sqref>
                  </c15:fullRef>
                </c:ext>
              </c:extLst>
              <c:f>'By year'!$E$6:$E$17</c:f>
              <c:numCache>
                <c:formatCode>General</c:formatCode>
                <c:ptCount val="10"/>
                <c:pt idx="0">
                  <c:v>0</c:v>
                </c:pt>
                <c:pt idx="1">
                  <c:v>3</c:v>
                </c:pt>
                <c:pt idx="2">
                  <c:v>2</c:v>
                </c:pt>
                <c:pt idx="3">
                  <c:v>2</c:v>
                </c:pt>
                <c:pt idx="4">
                  <c:v>2</c:v>
                </c:pt>
                <c:pt idx="5">
                  <c:v>2</c:v>
                </c:pt>
                <c:pt idx="6">
                  <c:v>2</c:v>
                </c:pt>
                <c:pt idx="7">
                  <c:v>3</c:v>
                </c:pt>
                <c:pt idx="8">
                  <c:v>2</c:v>
                </c:pt>
                <c:pt idx="9">
                  <c:v>4</c:v>
                </c:pt>
              </c:numCache>
            </c:numRef>
          </c:val>
          <c:extLst>
            <c:ext xmlns:c16="http://schemas.microsoft.com/office/drawing/2014/chart" uri="{C3380CC4-5D6E-409C-BE32-E72D297353CC}">
              <c16:uniqueId val="{00000003-32CF-4396-B3EE-7241294C1681}"/>
            </c:ext>
          </c:extLst>
        </c:ser>
        <c:ser>
          <c:idx val="4"/>
          <c:order val="4"/>
          <c:tx>
            <c:strRef>
              <c:f>'By year'!$F$5</c:f>
              <c:strCache>
                <c:ptCount val="1"/>
                <c:pt idx="0">
                  <c:v>G-BA</c:v>
                </c:pt>
              </c:strCache>
            </c:strRef>
          </c:tx>
          <c:spPr>
            <a:solidFill>
              <a:schemeClr val="accent5"/>
            </a:solidFill>
            <a:ln>
              <a:noFill/>
            </a:ln>
            <a:effectLst/>
          </c:spPr>
          <c:invertIfNegative val="0"/>
          <c:cat>
            <c:strRef>
              <c:extLst>
                <c:ext xmlns:c15="http://schemas.microsoft.com/office/drawing/2012/chart" uri="{02D57815-91ED-43cb-92C2-25804820EDAC}">
                  <c15:fullRef>
                    <c15:sqref>'By year'!$A$6:$A$18</c15:sqref>
                  </c15:fullRef>
                </c:ext>
              </c:extLst>
              <c:f>'By year'!$A$6:$A$17</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extLst>
                <c:ext xmlns:c15="http://schemas.microsoft.com/office/drawing/2012/chart" uri="{02D57815-91ED-43cb-92C2-25804820EDAC}">
                  <c15:fullRef>
                    <c15:sqref>'By year'!$F$6:$F$18</c15:sqref>
                  </c15:fullRef>
                </c:ext>
              </c:extLst>
              <c:f>'By year'!$F$6:$F$17</c:f>
              <c:numCache>
                <c:formatCode>General</c:formatCode>
                <c:ptCount val="10"/>
                <c:pt idx="0">
                  <c:v>0</c:v>
                </c:pt>
                <c:pt idx="1">
                  <c:v>0</c:v>
                </c:pt>
                <c:pt idx="2">
                  <c:v>0</c:v>
                </c:pt>
                <c:pt idx="3">
                  <c:v>7</c:v>
                </c:pt>
                <c:pt idx="4">
                  <c:v>9</c:v>
                </c:pt>
                <c:pt idx="5">
                  <c:v>11</c:v>
                </c:pt>
                <c:pt idx="6">
                  <c:v>12</c:v>
                </c:pt>
                <c:pt idx="7">
                  <c:v>14</c:v>
                </c:pt>
                <c:pt idx="8">
                  <c:v>25</c:v>
                </c:pt>
                <c:pt idx="9">
                  <c:v>7</c:v>
                </c:pt>
              </c:numCache>
            </c:numRef>
          </c:val>
          <c:extLst>
            <c:ext xmlns:c16="http://schemas.microsoft.com/office/drawing/2014/chart" uri="{C3380CC4-5D6E-409C-BE32-E72D297353CC}">
              <c16:uniqueId val="{00000004-32CF-4396-B3EE-7241294C1681}"/>
            </c:ext>
          </c:extLst>
        </c:ser>
        <c:ser>
          <c:idx val="5"/>
          <c:order val="5"/>
          <c:tx>
            <c:strRef>
              <c:f>'By year'!$G$5</c:f>
              <c:strCache>
                <c:ptCount val="1"/>
                <c:pt idx="0">
                  <c:v>AIFA</c:v>
                </c:pt>
              </c:strCache>
            </c:strRef>
          </c:tx>
          <c:spPr>
            <a:solidFill>
              <a:schemeClr val="accent6"/>
            </a:solidFill>
            <a:ln>
              <a:noFill/>
            </a:ln>
            <a:effectLst/>
          </c:spPr>
          <c:invertIfNegative val="0"/>
          <c:cat>
            <c:strRef>
              <c:extLst>
                <c:ext xmlns:c15="http://schemas.microsoft.com/office/drawing/2012/chart" uri="{02D57815-91ED-43cb-92C2-25804820EDAC}">
                  <c15:fullRef>
                    <c15:sqref>'By year'!$A$6:$A$18</c15:sqref>
                  </c15:fullRef>
                </c:ext>
              </c:extLst>
              <c:f>'By year'!$A$6:$A$17</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extLst>
                <c:ext xmlns:c15="http://schemas.microsoft.com/office/drawing/2012/chart" uri="{02D57815-91ED-43cb-92C2-25804820EDAC}">
                  <c15:fullRef>
                    <c15:sqref>'By year'!$G$6:$G$18</c15:sqref>
                  </c15:fullRef>
                </c:ext>
              </c:extLst>
              <c:f>'By year'!$G$6:$G$17</c:f>
              <c:numCache>
                <c:formatCode>General</c:formatCode>
                <c:ptCount val="10"/>
                <c:pt idx="0">
                  <c:v>0</c:v>
                </c:pt>
                <c:pt idx="1">
                  <c:v>0</c:v>
                </c:pt>
                <c:pt idx="2">
                  <c:v>0</c:v>
                </c:pt>
                <c:pt idx="3">
                  <c:v>0</c:v>
                </c:pt>
                <c:pt idx="4">
                  <c:v>0</c:v>
                </c:pt>
                <c:pt idx="5">
                  <c:v>0</c:v>
                </c:pt>
                <c:pt idx="6">
                  <c:v>6</c:v>
                </c:pt>
                <c:pt idx="7">
                  <c:v>6</c:v>
                </c:pt>
                <c:pt idx="8">
                  <c:v>17</c:v>
                </c:pt>
                <c:pt idx="9">
                  <c:v>17</c:v>
                </c:pt>
              </c:numCache>
            </c:numRef>
          </c:val>
          <c:extLst>
            <c:ext xmlns:c16="http://schemas.microsoft.com/office/drawing/2014/chart" uri="{C3380CC4-5D6E-409C-BE32-E72D297353CC}">
              <c16:uniqueId val="{00000005-32CF-4396-B3EE-7241294C1681}"/>
            </c:ext>
          </c:extLst>
        </c:ser>
        <c:ser>
          <c:idx val="6"/>
          <c:order val="6"/>
          <c:tx>
            <c:strRef>
              <c:f>'By year'!$H$5</c:f>
              <c:strCache>
                <c:ptCount val="1"/>
                <c:pt idx="0">
                  <c:v>AEMPS</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'By year'!$A$6:$A$18</c15:sqref>
                  </c15:fullRef>
                </c:ext>
              </c:extLst>
              <c:f>'By year'!$A$6:$A$17</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extLst>
                <c:ext xmlns:c15="http://schemas.microsoft.com/office/drawing/2012/chart" uri="{02D57815-91ED-43cb-92C2-25804820EDAC}">
                  <c15:fullRef>
                    <c15:sqref>'By year'!$H$6:$H$18</c15:sqref>
                  </c15:fullRef>
                </c:ext>
              </c:extLst>
              <c:f>'By year'!$H$6:$H$17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6-32CF-4396-B3EE-7241294C1681}"/>
            </c:ext>
          </c:extLst>
        </c:ser>
        <c:ser>
          <c:idx val="7"/>
          <c:order val="7"/>
          <c:tx>
            <c:strRef>
              <c:f>'By year'!$I$5</c:f>
              <c:strCache>
                <c:ptCount val="1"/>
                <c:pt idx="0">
                  <c:v>CEESP</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'By year'!$A$6:$A$18</c15:sqref>
                  </c15:fullRef>
                </c:ext>
              </c:extLst>
              <c:f>'By year'!$A$6:$A$17</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extLst>
                <c:ext xmlns:c15="http://schemas.microsoft.com/office/drawing/2012/chart" uri="{02D57815-91ED-43cb-92C2-25804820EDAC}">
                  <c15:fullRef>
                    <c15:sqref>'By year'!$I$6:$I$18</c15:sqref>
                  </c15:fullRef>
                </c:ext>
              </c:extLst>
              <c:f>'By year'!$I$6:$I$17</c:f>
              <c:numCache>
                <c:formatCode>General</c:formatCode>
                <c:ptCount val="10"/>
                <c:pt idx="0">
                  <c:v>0</c:v>
                </c:pt>
                <c:pt idx="1">
                  <c:v>0</c:v>
                </c:pt>
                <c:pt idx="2">
                  <c:v>0</c:v>
                </c:pt>
                <c:pt idx="3">
                  <c:v>5</c:v>
                </c:pt>
                <c:pt idx="4">
                  <c:v>9</c:v>
                </c:pt>
                <c:pt idx="5">
                  <c:v>6</c:v>
                </c:pt>
                <c:pt idx="6">
                  <c:v>7</c:v>
                </c:pt>
                <c:pt idx="7">
                  <c:v>19</c:v>
                </c:pt>
                <c:pt idx="8">
                  <c:v>19</c:v>
                </c:pt>
                <c:pt idx="9">
                  <c:v>4</c:v>
                </c:pt>
              </c:numCache>
            </c:numRef>
          </c:val>
          <c:extLst>
            <c:ext xmlns:c16="http://schemas.microsoft.com/office/drawing/2014/chart" uri="{C3380CC4-5D6E-409C-BE32-E72D297353CC}">
              <c16:uniqueId val="{00000007-32CF-4396-B3EE-7241294C1681}"/>
            </c:ext>
          </c:extLst>
        </c:ser>
        <c:ser>
          <c:idx val="8"/>
          <c:order val="8"/>
          <c:tx>
            <c:strRef>
              <c:f>'By year'!$J$5</c:f>
              <c:strCache>
                <c:ptCount val="1"/>
                <c:pt idx="0">
                  <c:v>CT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'By year'!$A$6:$A$18</c15:sqref>
                  </c15:fullRef>
                </c:ext>
              </c:extLst>
              <c:f>'By year'!$A$6:$A$17</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extLst>
                <c:ext xmlns:c15="http://schemas.microsoft.com/office/drawing/2012/chart" uri="{02D57815-91ED-43cb-92C2-25804820EDAC}">
                  <c15:fullRef>
                    <c15:sqref>'By year'!$J$6:$J$18</c15:sqref>
                  </c15:fullRef>
                </c:ext>
              </c:extLst>
              <c:f>'By year'!$J$6:$J$17</c:f>
              <c:numCache>
                <c:formatCode>General</c:formatCode>
                <c:ptCount val="10"/>
                <c:pt idx="0">
                  <c:v>0</c:v>
                </c:pt>
                <c:pt idx="1">
                  <c:v>0</c:v>
                </c:pt>
                <c:pt idx="2">
                  <c:v>0</c:v>
                </c:pt>
                <c:pt idx="3">
                  <c:v>36</c:v>
                </c:pt>
                <c:pt idx="4">
                  <c:v>31</c:v>
                </c:pt>
                <c:pt idx="5">
                  <c:v>22</c:v>
                </c:pt>
                <c:pt idx="6">
                  <c:v>24</c:v>
                </c:pt>
                <c:pt idx="7">
                  <c:v>22</c:v>
                </c:pt>
                <c:pt idx="8">
                  <c:v>22</c:v>
                </c:pt>
                <c:pt idx="9">
                  <c:v>4</c:v>
                </c:pt>
              </c:numCache>
            </c:numRef>
          </c:val>
          <c:extLst>
            <c:ext xmlns:c16="http://schemas.microsoft.com/office/drawing/2014/chart" uri="{C3380CC4-5D6E-409C-BE32-E72D297353CC}">
              <c16:uniqueId val="{00000008-32CF-4396-B3EE-7241294C1681}"/>
            </c:ext>
          </c:extLst>
        </c:ser>
        <c:dLbls>
          <c:showLegendKey val="0"/>
          <c:showVal val="0"/>
          <c:showCatName val="0"/>
          <c:showSerName val="0"/>
          <c:showPercent val="0"/>
          <c:showBubbleSize val="0"/>
        </c:dLbls>
        <c:gapWidth val="219"/>
        <c:overlap val="-27"/>
        <c:axId val="679547776"/>
        <c:axId val="679551056"/>
      </c:barChart>
      <c:lineChart>
        <c:grouping val="standard"/>
        <c:varyColors val="0"/>
        <c:ser>
          <c:idx val="9"/>
          <c:order val="9"/>
          <c:tx>
            <c:strRef>
              <c:f>'By year'!$K$5</c:f>
              <c:strCache>
                <c:ptCount val="1"/>
                <c:pt idx="0">
                  <c:v>Total</c:v>
                </c:pt>
              </c:strCache>
            </c:strRef>
          </c:tx>
          <c:spPr>
            <a:ln w="28575" cap="rnd">
              <a:solidFill>
                <a:srgbClr val="00B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'By year'!$A$6:$A$18</c15:sqref>
                  </c15:fullRef>
                </c:ext>
              </c:extLst>
              <c:f>'By year'!$A$6:$A$17</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extLst>
                <c:ext xmlns:c15="http://schemas.microsoft.com/office/drawing/2012/chart" uri="{02D57815-91ED-43cb-92C2-25804820EDAC}">
                  <c15:fullRef>
                    <c15:sqref>'By year'!$K$6:$K$18</c15:sqref>
                  </c15:fullRef>
                </c:ext>
              </c:extLst>
              <c:f>'By year'!$K$6:$K$17</c:f>
              <c:numCache>
                <c:formatCode>General</c:formatCode>
                <c:ptCount val="10"/>
                <c:pt idx="0">
                  <c:v>6</c:v>
                </c:pt>
                <c:pt idx="1">
                  <c:v>10</c:v>
                </c:pt>
                <c:pt idx="2">
                  <c:v>5</c:v>
                </c:pt>
                <c:pt idx="3">
                  <c:v>65</c:v>
                </c:pt>
                <c:pt idx="4">
                  <c:v>56</c:v>
                </c:pt>
                <c:pt idx="5">
                  <c:v>47</c:v>
                </c:pt>
                <c:pt idx="6">
                  <c:v>59</c:v>
                </c:pt>
                <c:pt idx="7">
                  <c:v>77</c:v>
                </c:pt>
                <c:pt idx="8">
                  <c:v>93</c:v>
                </c:pt>
                <c:pt idx="9">
                  <c:v>48</c:v>
                </c:pt>
              </c:numCache>
            </c:numRef>
          </c:val>
          <c:smooth val="1"/>
          <c:extLst>
            <c:ext xmlns:c16="http://schemas.microsoft.com/office/drawing/2014/chart" uri="{C3380CC4-5D6E-409C-BE32-E72D297353CC}">
              <c16:uniqueId val="{00000009-32CF-4396-B3EE-7241294C1681}"/>
            </c:ext>
          </c:extLst>
        </c:ser>
        <c:dLbls>
          <c:showLegendKey val="0"/>
          <c:showVal val="0"/>
          <c:showCatName val="0"/>
          <c:showSerName val="0"/>
          <c:showPercent val="0"/>
          <c:showBubbleSize val="0"/>
        </c:dLbls>
        <c:marker val="1"/>
        <c:smooth val="0"/>
        <c:axId val="679547776"/>
        <c:axId val="679551056"/>
      </c:lineChart>
      <c:catAx>
        <c:axId val="67954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551056"/>
        <c:crosses val="autoZero"/>
        <c:auto val="1"/>
        <c:lblAlgn val="ctr"/>
        <c:lblOffset val="100"/>
        <c:noMultiLvlLbl val="0"/>
      </c:catAx>
      <c:valAx>
        <c:axId val="679551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54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'By year'!$B$92</c:f>
              <c:strCache>
                <c:ptCount val="1"/>
                <c:pt idx="0">
                  <c:v>CADTH</c:v>
                </c:pt>
              </c:strCache>
            </c:strRef>
          </c:tx>
          <c:spPr>
            <a:solidFill>
              <a:schemeClr val="accent1"/>
            </a:solidFill>
            <a:ln>
              <a:noFill/>
            </a:ln>
            <a:effectLst/>
          </c:spPr>
          <c:invertIfNegative val="0"/>
          <c:cat>
            <c:strRef>
              <c:extLst>
                <c:ext xmlns:c15="http://schemas.microsoft.com/office/drawing/2012/chart" uri="{02D57815-91ED-43cb-92C2-25804820EDAC}">
                  <c15:fullRef>
                    <c15:sqref>'By year'!$A$93:$A$107</c15:sqref>
                  </c15:fullRef>
                </c:ext>
              </c:extLst>
              <c:f>'By year'!$A$93:$A$106</c:f>
              <c:strCache>
                <c:ptCount val="6"/>
                <c:pt idx="0">
                  <c:v>2016</c:v>
                </c:pt>
                <c:pt idx="1">
                  <c:v>2017</c:v>
                </c:pt>
                <c:pt idx="2">
                  <c:v>2018</c:v>
                </c:pt>
                <c:pt idx="3">
                  <c:v>2019</c:v>
                </c:pt>
                <c:pt idx="4">
                  <c:v>2020</c:v>
                </c:pt>
                <c:pt idx="5">
                  <c:v>2021</c:v>
                </c:pt>
              </c:strCache>
            </c:strRef>
          </c:cat>
          <c:val>
            <c:numRef>
              <c:extLst>
                <c:ext xmlns:c15="http://schemas.microsoft.com/office/drawing/2012/chart" uri="{02D57815-91ED-43cb-92C2-25804820EDAC}">
                  <c15:fullRef>
                    <c15:sqref>'By year'!$B$93:$B$107</c15:sqref>
                  </c15:fullRef>
                </c:ext>
              </c:extLst>
              <c:f>'By year'!$B$93:$B$106</c:f>
              <c:numCache>
                <c:formatCode>General</c:formatCode>
                <c:ptCount val="6"/>
                <c:pt idx="0">
                  <c:v>0</c:v>
                </c:pt>
                <c:pt idx="1">
                  <c:v>0</c:v>
                </c:pt>
                <c:pt idx="2">
                  <c:v>1</c:v>
                </c:pt>
                <c:pt idx="3">
                  <c:v>0</c:v>
                </c:pt>
                <c:pt idx="4">
                  <c:v>0</c:v>
                </c:pt>
                <c:pt idx="5">
                  <c:v>0</c:v>
                </c:pt>
              </c:numCache>
            </c:numRef>
          </c:val>
          <c:extLst>
            <c:ext xmlns:c16="http://schemas.microsoft.com/office/drawing/2014/chart" uri="{C3380CC4-5D6E-409C-BE32-E72D297353CC}">
              <c16:uniqueId val="{00000000-73B4-4768-822F-C1C2D7E3B1AE}"/>
            </c:ext>
          </c:extLst>
        </c:ser>
        <c:ser>
          <c:idx val="1"/>
          <c:order val="1"/>
          <c:tx>
            <c:strRef>
              <c:f>'By year'!$C$92</c:f>
              <c:strCache>
                <c:ptCount val="1"/>
                <c:pt idx="0">
                  <c:v>EUnetHTA</c:v>
                </c:pt>
              </c:strCache>
            </c:strRef>
          </c:tx>
          <c:spPr>
            <a:solidFill>
              <a:schemeClr val="accent2"/>
            </a:solidFill>
            <a:ln>
              <a:noFill/>
            </a:ln>
            <a:effectLst/>
          </c:spPr>
          <c:invertIfNegative val="0"/>
          <c:cat>
            <c:strRef>
              <c:extLst>
                <c:ext xmlns:c15="http://schemas.microsoft.com/office/drawing/2012/chart" uri="{02D57815-91ED-43cb-92C2-25804820EDAC}">
                  <c15:fullRef>
                    <c15:sqref>'By year'!$A$93:$A$107</c15:sqref>
                  </c15:fullRef>
                </c:ext>
              </c:extLst>
              <c:f>'By year'!$A$93:$A$106</c:f>
              <c:strCache>
                <c:ptCount val="6"/>
                <c:pt idx="0">
                  <c:v>2016</c:v>
                </c:pt>
                <c:pt idx="1">
                  <c:v>2017</c:v>
                </c:pt>
                <c:pt idx="2">
                  <c:v>2018</c:v>
                </c:pt>
                <c:pt idx="3">
                  <c:v>2019</c:v>
                </c:pt>
                <c:pt idx="4">
                  <c:v>2020</c:v>
                </c:pt>
                <c:pt idx="5">
                  <c:v>2021</c:v>
                </c:pt>
              </c:strCache>
            </c:strRef>
          </c:cat>
          <c:val>
            <c:numRef>
              <c:extLst>
                <c:ext xmlns:c15="http://schemas.microsoft.com/office/drawing/2012/chart" uri="{02D57815-91ED-43cb-92C2-25804820EDAC}">
                  <c15:fullRef>
                    <c15:sqref>'By year'!$C$93:$C$107</c15:sqref>
                  </c15:fullRef>
                </c:ext>
              </c:extLst>
              <c:f>'By year'!$C$93:$C$106</c:f>
              <c:numCache>
                <c:formatCode>General</c:formatCode>
                <c:ptCount val="6"/>
                <c:pt idx="0">
                  <c:v>0</c:v>
                </c:pt>
                <c:pt idx="1">
                  <c:v>1</c:v>
                </c:pt>
                <c:pt idx="2">
                  <c:v>0</c:v>
                </c:pt>
                <c:pt idx="3">
                  <c:v>0</c:v>
                </c:pt>
                <c:pt idx="4">
                  <c:v>0</c:v>
                </c:pt>
                <c:pt idx="5">
                  <c:v>0</c:v>
                </c:pt>
              </c:numCache>
            </c:numRef>
          </c:val>
          <c:extLst>
            <c:ext xmlns:c16="http://schemas.microsoft.com/office/drawing/2014/chart" uri="{C3380CC4-5D6E-409C-BE32-E72D297353CC}">
              <c16:uniqueId val="{00000001-73B4-4768-822F-C1C2D7E3B1AE}"/>
            </c:ext>
          </c:extLst>
        </c:ser>
        <c:ser>
          <c:idx val="2"/>
          <c:order val="2"/>
          <c:tx>
            <c:strRef>
              <c:f>'By year'!$D$92</c:f>
              <c:strCache>
                <c:ptCount val="1"/>
                <c:pt idx="0">
                  <c:v>G-BA</c:v>
                </c:pt>
              </c:strCache>
            </c:strRef>
          </c:tx>
          <c:spPr>
            <a:solidFill>
              <a:schemeClr val="accent3"/>
            </a:solidFill>
            <a:ln>
              <a:noFill/>
            </a:ln>
            <a:effectLst/>
          </c:spPr>
          <c:invertIfNegative val="0"/>
          <c:cat>
            <c:strRef>
              <c:extLst>
                <c:ext xmlns:c15="http://schemas.microsoft.com/office/drawing/2012/chart" uri="{02D57815-91ED-43cb-92C2-25804820EDAC}">
                  <c15:fullRef>
                    <c15:sqref>'By year'!$A$93:$A$107</c15:sqref>
                  </c15:fullRef>
                </c:ext>
              </c:extLst>
              <c:f>'By year'!$A$93:$A$106</c:f>
              <c:strCache>
                <c:ptCount val="6"/>
                <c:pt idx="0">
                  <c:v>2016</c:v>
                </c:pt>
                <c:pt idx="1">
                  <c:v>2017</c:v>
                </c:pt>
                <c:pt idx="2">
                  <c:v>2018</c:v>
                </c:pt>
                <c:pt idx="3">
                  <c:v>2019</c:v>
                </c:pt>
                <c:pt idx="4">
                  <c:v>2020</c:v>
                </c:pt>
                <c:pt idx="5">
                  <c:v>2021</c:v>
                </c:pt>
              </c:strCache>
            </c:strRef>
          </c:cat>
          <c:val>
            <c:numRef>
              <c:extLst>
                <c:ext xmlns:c15="http://schemas.microsoft.com/office/drawing/2012/chart" uri="{02D57815-91ED-43cb-92C2-25804820EDAC}">
                  <c15:fullRef>
                    <c15:sqref>'By year'!$D$93:$D$107</c15:sqref>
                  </c15:fullRef>
                </c:ext>
              </c:extLst>
              <c:f>'By year'!$D$93:$D$106</c:f>
              <c:numCache>
                <c:formatCode>General</c:formatCode>
                <c:ptCount val="6"/>
                <c:pt idx="0">
                  <c:v>0</c:v>
                </c:pt>
                <c:pt idx="1">
                  <c:v>0</c:v>
                </c:pt>
                <c:pt idx="2">
                  <c:v>1</c:v>
                </c:pt>
                <c:pt idx="3">
                  <c:v>0</c:v>
                </c:pt>
                <c:pt idx="4">
                  <c:v>0</c:v>
                </c:pt>
                <c:pt idx="5">
                  <c:v>2</c:v>
                </c:pt>
              </c:numCache>
            </c:numRef>
          </c:val>
          <c:extLst>
            <c:ext xmlns:c16="http://schemas.microsoft.com/office/drawing/2014/chart" uri="{C3380CC4-5D6E-409C-BE32-E72D297353CC}">
              <c16:uniqueId val="{00000002-73B4-4768-822F-C1C2D7E3B1AE}"/>
            </c:ext>
          </c:extLst>
        </c:ser>
        <c:ser>
          <c:idx val="3"/>
          <c:order val="3"/>
          <c:tx>
            <c:strRef>
              <c:f>'By year'!$E$92</c:f>
              <c:strCache>
                <c:ptCount val="1"/>
                <c:pt idx="0">
                  <c:v>HAS</c:v>
                </c:pt>
              </c:strCache>
            </c:strRef>
          </c:tx>
          <c:spPr>
            <a:solidFill>
              <a:schemeClr val="accent4"/>
            </a:solidFill>
            <a:ln>
              <a:noFill/>
            </a:ln>
            <a:effectLst/>
          </c:spPr>
          <c:invertIfNegative val="0"/>
          <c:cat>
            <c:strRef>
              <c:extLst>
                <c:ext xmlns:c15="http://schemas.microsoft.com/office/drawing/2012/chart" uri="{02D57815-91ED-43cb-92C2-25804820EDAC}">
                  <c15:fullRef>
                    <c15:sqref>'By year'!$A$93:$A$107</c15:sqref>
                  </c15:fullRef>
                </c:ext>
              </c:extLst>
              <c:f>'By year'!$A$93:$A$106</c:f>
              <c:strCache>
                <c:ptCount val="6"/>
                <c:pt idx="0">
                  <c:v>2016</c:v>
                </c:pt>
                <c:pt idx="1">
                  <c:v>2017</c:v>
                </c:pt>
                <c:pt idx="2">
                  <c:v>2018</c:v>
                </c:pt>
                <c:pt idx="3">
                  <c:v>2019</c:v>
                </c:pt>
                <c:pt idx="4">
                  <c:v>2020</c:v>
                </c:pt>
                <c:pt idx="5">
                  <c:v>2021</c:v>
                </c:pt>
              </c:strCache>
            </c:strRef>
          </c:cat>
          <c:val>
            <c:numRef>
              <c:extLst>
                <c:ext xmlns:c15="http://schemas.microsoft.com/office/drawing/2012/chart" uri="{02D57815-91ED-43cb-92C2-25804820EDAC}">
                  <c15:fullRef>
                    <c15:sqref>'By year'!$E$93:$E$107</c15:sqref>
                  </c15:fullRef>
                </c:ext>
              </c:extLst>
              <c:f>'By year'!$E$93:$E$106</c:f>
              <c:numCache>
                <c:formatCode>General</c:formatCode>
                <c:ptCount val="6"/>
                <c:pt idx="0">
                  <c:v>0</c:v>
                </c:pt>
                <c:pt idx="1">
                  <c:v>0</c:v>
                </c:pt>
                <c:pt idx="2">
                  <c:v>1</c:v>
                </c:pt>
                <c:pt idx="3">
                  <c:v>0</c:v>
                </c:pt>
                <c:pt idx="4">
                  <c:v>0</c:v>
                </c:pt>
                <c:pt idx="5">
                  <c:v>2</c:v>
                </c:pt>
              </c:numCache>
            </c:numRef>
          </c:val>
          <c:extLst>
            <c:ext xmlns:c16="http://schemas.microsoft.com/office/drawing/2014/chart" uri="{C3380CC4-5D6E-409C-BE32-E72D297353CC}">
              <c16:uniqueId val="{00000003-73B4-4768-822F-C1C2D7E3B1AE}"/>
            </c:ext>
          </c:extLst>
        </c:ser>
        <c:ser>
          <c:idx val="4"/>
          <c:order val="4"/>
          <c:tx>
            <c:strRef>
              <c:f>'By year'!$F$92</c:f>
              <c:strCache>
                <c:ptCount val="1"/>
                <c:pt idx="0">
                  <c:v>NICE</c:v>
                </c:pt>
              </c:strCache>
            </c:strRef>
          </c:tx>
          <c:spPr>
            <a:solidFill>
              <a:schemeClr val="accent5"/>
            </a:solidFill>
            <a:ln>
              <a:noFill/>
            </a:ln>
            <a:effectLst/>
          </c:spPr>
          <c:invertIfNegative val="0"/>
          <c:cat>
            <c:strRef>
              <c:extLst>
                <c:ext xmlns:c15="http://schemas.microsoft.com/office/drawing/2012/chart" uri="{02D57815-91ED-43cb-92C2-25804820EDAC}">
                  <c15:fullRef>
                    <c15:sqref>'By year'!$A$93:$A$107</c15:sqref>
                  </c15:fullRef>
                </c:ext>
              </c:extLst>
              <c:f>'By year'!$A$93:$A$106</c:f>
              <c:strCache>
                <c:ptCount val="6"/>
                <c:pt idx="0">
                  <c:v>2016</c:v>
                </c:pt>
                <c:pt idx="1">
                  <c:v>2017</c:v>
                </c:pt>
                <c:pt idx="2">
                  <c:v>2018</c:v>
                </c:pt>
                <c:pt idx="3">
                  <c:v>2019</c:v>
                </c:pt>
                <c:pt idx="4">
                  <c:v>2020</c:v>
                </c:pt>
                <c:pt idx="5">
                  <c:v>2021</c:v>
                </c:pt>
              </c:strCache>
            </c:strRef>
          </c:cat>
          <c:val>
            <c:numRef>
              <c:extLst>
                <c:ext xmlns:c15="http://schemas.microsoft.com/office/drawing/2012/chart" uri="{02D57815-91ED-43cb-92C2-25804820EDAC}">
                  <c15:fullRef>
                    <c15:sqref>'By year'!$F$93:$F$107</c15:sqref>
                  </c15:fullRef>
                </c:ext>
              </c:extLst>
              <c:f>'By year'!$F$93:$F$106</c:f>
              <c:numCache>
                <c:formatCode>General</c:formatCode>
                <c:ptCount val="6"/>
                <c:pt idx="0">
                  <c:v>0</c:v>
                </c:pt>
                <c:pt idx="1">
                  <c:v>0</c:v>
                </c:pt>
                <c:pt idx="2">
                  <c:v>1</c:v>
                </c:pt>
                <c:pt idx="3">
                  <c:v>1</c:v>
                </c:pt>
                <c:pt idx="4">
                  <c:v>0</c:v>
                </c:pt>
                <c:pt idx="5">
                  <c:v>2</c:v>
                </c:pt>
              </c:numCache>
            </c:numRef>
          </c:val>
          <c:extLst>
            <c:ext xmlns:c16="http://schemas.microsoft.com/office/drawing/2014/chart" uri="{C3380CC4-5D6E-409C-BE32-E72D297353CC}">
              <c16:uniqueId val="{00000004-73B4-4768-822F-C1C2D7E3B1AE}"/>
            </c:ext>
          </c:extLst>
        </c:ser>
        <c:ser>
          <c:idx val="5"/>
          <c:order val="5"/>
          <c:tx>
            <c:strRef>
              <c:f>'By year'!$G$92</c:f>
              <c:strCache>
                <c:ptCount val="1"/>
                <c:pt idx="0">
                  <c:v>Parallel EMA / HTA</c:v>
                </c:pt>
              </c:strCache>
            </c:strRef>
          </c:tx>
          <c:spPr>
            <a:solidFill>
              <a:schemeClr val="accent6"/>
            </a:solidFill>
            <a:ln>
              <a:noFill/>
            </a:ln>
            <a:effectLst/>
          </c:spPr>
          <c:invertIfNegative val="0"/>
          <c:cat>
            <c:strRef>
              <c:extLst>
                <c:ext xmlns:c15="http://schemas.microsoft.com/office/drawing/2012/chart" uri="{02D57815-91ED-43cb-92C2-25804820EDAC}">
                  <c15:fullRef>
                    <c15:sqref>'By year'!$A$93:$A$107</c15:sqref>
                  </c15:fullRef>
                </c:ext>
              </c:extLst>
              <c:f>'By year'!$A$93:$A$106</c:f>
              <c:strCache>
                <c:ptCount val="6"/>
                <c:pt idx="0">
                  <c:v>2016</c:v>
                </c:pt>
                <c:pt idx="1">
                  <c:v>2017</c:v>
                </c:pt>
                <c:pt idx="2">
                  <c:v>2018</c:v>
                </c:pt>
                <c:pt idx="3">
                  <c:v>2019</c:v>
                </c:pt>
                <c:pt idx="4">
                  <c:v>2020</c:v>
                </c:pt>
                <c:pt idx="5">
                  <c:v>2021</c:v>
                </c:pt>
              </c:strCache>
            </c:strRef>
          </c:cat>
          <c:val>
            <c:numRef>
              <c:extLst>
                <c:ext xmlns:c15="http://schemas.microsoft.com/office/drawing/2012/chart" uri="{02D57815-91ED-43cb-92C2-25804820EDAC}">
                  <c15:fullRef>
                    <c15:sqref>'By year'!$G$93:$G$107</c15:sqref>
                  </c15:fullRef>
                </c:ext>
              </c:extLst>
              <c:f>'By year'!$G$93:$G$106</c:f>
              <c:numCache>
                <c:formatCode>General</c:formatCode>
                <c:ptCount val="6"/>
                <c:pt idx="0">
                  <c:v>1</c:v>
                </c:pt>
                <c:pt idx="1">
                  <c:v>0</c:v>
                </c:pt>
                <c:pt idx="2">
                  <c:v>0</c:v>
                </c:pt>
                <c:pt idx="3">
                  <c:v>0</c:v>
                </c:pt>
                <c:pt idx="4">
                  <c:v>0</c:v>
                </c:pt>
                <c:pt idx="5">
                  <c:v>0</c:v>
                </c:pt>
              </c:numCache>
            </c:numRef>
          </c:val>
          <c:extLst>
            <c:ext xmlns:c16="http://schemas.microsoft.com/office/drawing/2014/chart" uri="{C3380CC4-5D6E-409C-BE32-E72D297353CC}">
              <c16:uniqueId val="{00000005-73B4-4768-822F-C1C2D7E3B1AE}"/>
            </c:ext>
          </c:extLst>
        </c:ser>
        <c:ser>
          <c:idx val="6"/>
          <c:order val="6"/>
          <c:tx>
            <c:strRef>
              <c:f>'By year'!$H$92</c:f>
              <c:strCache>
                <c:ptCount val="1"/>
                <c:pt idx="0">
                  <c:v>ZIN</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'By year'!$A$93:$A$107</c15:sqref>
                  </c15:fullRef>
                </c:ext>
              </c:extLst>
              <c:f>'By year'!$A$93:$A$106</c:f>
              <c:strCache>
                <c:ptCount val="6"/>
                <c:pt idx="0">
                  <c:v>2016</c:v>
                </c:pt>
                <c:pt idx="1">
                  <c:v>2017</c:v>
                </c:pt>
                <c:pt idx="2">
                  <c:v>2018</c:v>
                </c:pt>
                <c:pt idx="3">
                  <c:v>2019</c:v>
                </c:pt>
                <c:pt idx="4">
                  <c:v>2020</c:v>
                </c:pt>
                <c:pt idx="5">
                  <c:v>2021</c:v>
                </c:pt>
              </c:strCache>
            </c:strRef>
          </c:cat>
          <c:val>
            <c:numRef>
              <c:extLst>
                <c:ext xmlns:c15="http://schemas.microsoft.com/office/drawing/2012/chart" uri="{02D57815-91ED-43cb-92C2-25804820EDAC}">
                  <c15:fullRef>
                    <c15:sqref>'By year'!$H$93:$H$107</c15:sqref>
                  </c15:fullRef>
                </c:ext>
              </c:extLst>
              <c:f>'By year'!$H$93:$H$106</c:f>
              <c:numCache>
                <c:formatCode>General</c:formatCode>
                <c:ptCount val="6"/>
                <c:pt idx="0">
                  <c:v>0</c:v>
                </c:pt>
                <c:pt idx="1">
                  <c:v>0</c:v>
                </c:pt>
                <c:pt idx="2">
                  <c:v>0</c:v>
                </c:pt>
                <c:pt idx="3">
                  <c:v>0</c:v>
                </c:pt>
                <c:pt idx="4">
                  <c:v>1</c:v>
                </c:pt>
                <c:pt idx="5">
                  <c:v>0</c:v>
                </c:pt>
              </c:numCache>
            </c:numRef>
          </c:val>
          <c:extLst>
            <c:ext xmlns:c16="http://schemas.microsoft.com/office/drawing/2014/chart" uri="{C3380CC4-5D6E-409C-BE32-E72D297353CC}">
              <c16:uniqueId val="{00000006-73B4-4768-822F-C1C2D7E3B1AE}"/>
            </c:ext>
          </c:extLst>
        </c:ser>
        <c:dLbls>
          <c:showLegendKey val="0"/>
          <c:showVal val="0"/>
          <c:showCatName val="0"/>
          <c:showSerName val="0"/>
          <c:showPercent val="0"/>
          <c:showBubbleSize val="0"/>
        </c:dLbls>
        <c:gapWidth val="219"/>
        <c:axId val="489530320"/>
        <c:axId val="489531304"/>
      </c:barChart>
      <c:scatterChart>
        <c:scatterStyle val="smoothMarker"/>
        <c:varyColors val="0"/>
        <c:ser>
          <c:idx val="7"/>
          <c:order val="7"/>
          <c:tx>
            <c:strRef>
              <c:f>'By year'!$I$92</c:f>
              <c:strCache>
                <c:ptCount val="1"/>
                <c:pt idx="0">
                  <c:v>Total</c:v>
                </c:pt>
              </c:strCache>
            </c:strRef>
          </c:tx>
          <c:spPr>
            <a:ln w="38100" cap="rnd">
              <a:solidFill>
                <a:srgbClr val="00B050"/>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2016</c:v>
              </c:pt>
              <c:pt idx="1">
                <c:v>2017</c:v>
              </c:pt>
              <c:pt idx="2">
                <c:v>2018</c:v>
              </c:pt>
              <c:pt idx="3">
                <c:v>2019</c:v>
              </c:pt>
              <c:pt idx="4">
                <c:v>2020</c:v>
              </c:pt>
              <c:pt idx="5">
                <c:v>2021</c:v>
              </c:pt>
              <c:extLst>
                <c:ext xmlns:c15="http://schemas.microsoft.com/office/drawing/2012/chart" uri="{02D57815-91ED-43cb-92C2-25804820EDAC}">
                  <c15:autoCat val="1"/>
                </c:ext>
              </c:extLst>
            </c:strLit>
          </c:cat>
          <c:xVal>
            <c:strRef>
              <c:extLst>
                <c:ext xmlns:c15="http://schemas.microsoft.com/office/drawing/2012/chart" uri="{02D57815-91ED-43cb-92C2-25804820EDAC}">
                  <c15:fullRef>
                    <c15:sqref>'By year'!$A$93:$A$107</c15:sqref>
                  </c15:fullRef>
                </c:ext>
              </c:extLst>
              <c:f>'By year'!$A$93:$A$106</c:f>
              <c:strCache>
                <c:ptCount val="6"/>
                <c:pt idx="0">
                  <c:v>2016</c:v>
                </c:pt>
                <c:pt idx="1">
                  <c:v>2017</c:v>
                </c:pt>
                <c:pt idx="2">
                  <c:v>2018</c:v>
                </c:pt>
                <c:pt idx="3">
                  <c:v>2019</c:v>
                </c:pt>
                <c:pt idx="4">
                  <c:v>2020</c:v>
                </c:pt>
                <c:pt idx="5">
                  <c:v>2021</c:v>
                </c:pt>
              </c:strCache>
            </c:strRef>
          </c:xVal>
          <c:yVal>
            <c:numRef>
              <c:extLst>
                <c:ext xmlns:c15="http://schemas.microsoft.com/office/drawing/2012/chart" uri="{02D57815-91ED-43cb-92C2-25804820EDAC}">
                  <c15:fullRef>
                    <c15:sqref>'By year'!$I$93:$I$107</c15:sqref>
                  </c15:fullRef>
                </c:ext>
              </c:extLst>
              <c:f>'By year'!$I$93:$I$106</c:f>
              <c:numCache>
                <c:formatCode>General</c:formatCode>
                <c:ptCount val="6"/>
                <c:pt idx="0">
                  <c:v>1</c:v>
                </c:pt>
                <c:pt idx="1">
                  <c:v>1</c:v>
                </c:pt>
                <c:pt idx="2">
                  <c:v>4</c:v>
                </c:pt>
                <c:pt idx="3">
                  <c:v>1</c:v>
                </c:pt>
                <c:pt idx="4">
                  <c:v>1</c:v>
                </c:pt>
                <c:pt idx="5">
                  <c:v>6</c:v>
                </c:pt>
              </c:numCache>
            </c:numRef>
          </c:yVal>
          <c:smooth val="1"/>
          <c:extLst>
            <c:ext xmlns:c16="http://schemas.microsoft.com/office/drawing/2014/chart" uri="{C3380CC4-5D6E-409C-BE32-E72D297353CC}">
              <c16:uniqueId val="{00000007-73B4-4768-822F-C1C2D7E3B1AE}"/>
            </c:ext>
          </c:extLst>
        </c:ser>
        <c:dLbls>
          <c:showLegendKey val="0"/>
          <c:showVal val="0"/>
          <c:showCatName val="0"/>
          <c:showSerName val="0"/>
          <c:showPercent val="0"/>
          <c:showBubbleSize val="0"/>
        </c:dLbls>
        <c:axId val="489530320"/>
        <c:axId val="489531304"/>
      </c:scatterChart>
      <c:catAx>
        <c:axId val="48953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31304"/>
        <c:crosses val="autoZero"/>
        <c:auto val="1"/>
        <c:lblAlgn val="ctr"/>
        <c:lblOffset val="100"/>
        <c:noMultiLvlLbl val="0"/>
      </c:catAx>
      <c:valAx>
        <c:axId val="489531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30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449912628674843E-2"/>
          <c:y val="2.3796273915723715E-2"/>
          <c:w val="0.64516318800140127"/>
          <c:h val="0.9260189685430974"/>
        </c:manualLayout>
      </c:layout>
      <c:barChart>
        <c:barDir val="col"/>
        <c:grouping val="stacked"/>
        <c:varyColors val="0"/>
        <c:ser>
          <c:idx val="0"/>
          <c:order val="0"/>
          <c:tx>
            <c:strRef>
              <c:f>'By year'!$A$136</c:f>
              <c:strCache>
                <c:ptCount val="1"/>
                <c:pt idx="0">
                  <c:v>0</c:v>
                </c:pt>
              </c:strCache>
            </c:strRef>
          </c:tx>
          <c:spPr>
            <a:solidFill>
              <a:schemeClr val="accent1"/>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pt idx="7">
                  <c:v>Total</c:v>
                </c:pt>
              </c:strCache>
            </c:strRef>
          </c:cat>
          <c:val>
            <c:numRef>
              <c:extLst>
                <c:ext xmlns:c15="http://schemas.microsoft.com/office/drawing/2012/chart" uri="{02D57815-91ED-43cb-92C2-25804820EDAC}">
                  <c15:fullRef>
                    <c15:sqref>'By year'!$B$136:$I$136</c15:sqref>
                  </c15:fullRef>
                </c:ext>
              </c:extLst>
              <c:f>'By year'!$B$136:$H$136</c:f>
            </c:numRef>
          </c:val>
          <c:extLst>
            <c:ext xmlns:c16="http://schemas.microsoft.com/office/drawing/2014/chart" uri="{C3380CC4-5D6E-409C-BE32-E72D297353CC}">
              <c16:uniqueId val="{00000000-E949-4CB1-8C26-FC40C647E75B}"/>
            </c:ext>
          </c:extLst>
        </c:ser>
        <c:ser>
          <c:idx val="1"/>
          <c:order val="1"/>
          <c:tx>
            <c:strRef>
              <c:f>'By year'!$A$137</c:f>
              <c:strCache>
                <c:ptCount val="1"/>
                <c:pt idx="0">
                  <c:v>0</c:v>
                </c:pt>
              </c:strCache>
            </c:strRef>
          </c:tx>
          <c:spPr>
            <a:solidFill>
              <a:schemeClr val="accent2"/>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pt idx="7">
                  <c:v>Total</c:v>
                </c:pt>
              </c:strCache>
            </c:strRef>
          </c:cat>
          <c:val>
            <c:numRef>
              <c:extLst>
                <c:ext xmlns:c15="http://schemas.microsoft.com/office/drawing/2012/chart" uri="{02D57815-91ED-43cb-92C2-25804820EDAC}">
                  <c15:fullRef>
                    <c15:sqref>'By year'!$B$137:$I$137</c15:sqref>
                  </c15:fullRef>
                </c:ext>
              </c:extLst>
              <c:f>'By year'!$B$137:$H$137</c:f>
            </c:numRef>
          </c:val>
          <c:extLst>
            <c:ext xmlns:c16="http://schemas.microsoft.com/office/drawing/2014/chart" uri="{C3380CC4-5D6E-409C-BE32-E72D297353CC}">
              <c16:uniqueId val="{00000001-E949-4CB1-8C26-FC40C647E75B}"/>
            </c:ext>
          </c:extLst>
        </c:ser>
        <c:ser>
          <c:idx val="2"/>
          <c:order val="2"/>
          <c:tx>
            <c:strRef>
              <c:f>'By year'!$A$138</c:f>
              <c:strCache>
                <c:ptCount val="1"/>
                <c:pt idx="0">
                  <c:v>0</c:v>
                </c:pt>
              </c:strCache>
            </c:strRef>
          </c:tx>
          <c:spPr>
            <a:solidFill>
              <a:schemeClr val="accent3"/>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pt idx="7">
                  <c:v>Total</c:v>
                </c:pt>
              </c:strCache>
            </c:strRef>
          </c:cat>
          <c:val>
            <c:numRef>
              <c:extLst>
                <c:ext xmlns:c15="http://schemas.microsoft.com/office/drawing/2012/chart" uri="{02D57815-91ED-43cb-92C2-25804820EDAC}">
                  <c15:fullRef>
                    <c15:sqref>'By year'!$B$138:$I$138</c15:sqref>
                  </c15:fullRef>
                </c:ext>
              </c:extLst>
              <c:f>'By year'!$B$138:$H$138</c:f>
            </c:numRef>
          </c:val>
          <c:extLst>
            <c:ext xmlns:c16="http://schemas.microsoft.com/office/drawing/2014/chart" uri="{C3380CC4-5D6E-409C-BE32-E72D297353CC}">
              <c16:uniqueId val="{00000002-E949-4CB1-8C26-FC40C647E75B}"/>
            </c:ext>
          </c:extLst>
        </c:ser>
        <c:ser>
          <c:idx val="3"/>
          <c:order val="3"/>
          <c:tx>
            <c:strRef>
              <c:f>'By year'!$A$139</c:f>
              <c:strCache>
                <c:ptCount val="1"/>
                <c:pt idx="0">
                  <c:v>0</c:v>
                </c:pt>
              </c:strCache>
            </c:strRef>
          </c:tx>
          <c:spPr>
            <a:solidFill>
              <a:schemeClr val="accent4"/>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pt idx="7">
                  <c:v>Total</c:v>
                </c:pt>
              </c:strCache>
            </c:strRef>
          </c:cat>
          <c:val>
            <c:numRef>
              <c:extLst>
                <c:ext xmlns:c15="http://schemas.microsoft.com/office/drawing/2012/chart" uri="{02D57815-91ED-43cb-92C2-25804820EDAC}">
                  <c15:fullRef>
                    <c15:sqref>'By year'!$B$139:$I$139</c15:sqref>
                  </c15:fullRef>
                </c:ext>
              </c:extLst>
              <c:f>'By year'!$B$139:$H$139</c:f>
            </c:numRef>
          </c:val>
          <c:extLst>
            <c:ext xmlns:c16="http://schemas.microsoft.com/office/drawing/2014/chart" uri="{C3380CC4-5D6E-409C-BE32-E72D297353CC}">
              <c16:uniqueId val="{00000003-E949-4CB1-8C26-FC40C647E75B}"/>
            </c:ext>
          </c:extLst>
        </c:ser>
        <c:ser>
          <c:idx val="4"/>
          <c:order val="4"/>
          <c:tx>
            <c:strRef>
              <c:f>'By year'!$A$140</c:f>
              <c:strCache>
                <c:ptCount val="1"/>
                <c:pt idx="0">
                  <c:v>0</c:v>
                </c:pt>
              </c:strCache>
            </c:strRef>
          </c:tx>
          <c:spPr>
            <a:solidFill>
              <a:schemeClr val="accent5"/>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pt idx="7">
                  <c:v>Total</c:v>
                </c:pt>
              </c:strCache>
            </c:strRef>
          </c:cat>
          <c:val>
            <c:numRef>
              <c:extLst>
                <c:ext xmlns:c15="http://schemas.microsoft.com/office/drawing/2012/chart" uri="{02D57815-91ED-43cb-92C2-25804820EDAC}">
                  <c15:fullRef>
                    <c15:sqref>'By year'!$B$140:$I$140</c15:sqref>
                  </c15:fullRef>
                </c:ext>
              </c:extLst>
              <c:f>'By year'!$B$140:$H$140</c:f>
            </c:numRef>
          </c:val>
          <c:extLst>
            <c:ext xmlns:c16="http://schemas.microsoft.com/office/drawing/2014/chart" uri="{C3380CC4-5D6E-409C-BE32-E72D297353CC}">
              <c16:uniqueId val="{00000004-E949-4CB1-8C26-FC40C647E75B}"/>
            </c:ext>
          </c:extLst>
        </c:ser>
        <c:ser>
          <c:idx val="5"/>
          <c:order val="5"/>
          <c:tx>
            <c:strRef>
              <c:f>'By year'!$A$141</c:f>
              <c:strCache>
                <c:ptCount val="1"/>
                <c:pt idx="0">
                  <c:v>0</c:v>
                </c:pt>
              </c:strCache>
            </c:strRef>
          </c:tx>
          <c:spPr>
            <a:solidFill>
              <a:schemeClr val="accent6"/>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pt idx="7">
                  <c:v>Total</c:v>
                </c:pt>
              </c:strCache>
            </c:strRef>
          </c:cat>
          <c:val>
            <c:numRef>
              <c:extLst>
                <c:ext xmlns:c15="http://schemas.microsoft.com/office/drawing/2012/chart" uri="{02D57815-91ED-43cb-92C2-25804820EDAC}">
                  <c15:fullRef>
                    <c15:sqref>'By year'!$B$141:$I$141</c15:sqref>
                  </c15:fullRef>
                </c:ext>
              </c:extLst>
              <c:f>'By year'!$B$141:$H$141</c:f>
            </c:numRef>
          </c:val>
          <c:extLst>
            <c:ext xmlns:c16="http://schemas.microsoft.com/office/drawing/2014/chart" uri="{C3380CC4-5D6E-409C-BE32-E72D297353CC}">
              <c16:uniqueId val="{00000005-E949-4CB1-8C26-FC40C647E75B}"/>
            </c:ext>
          </c:extLst>
        </c:ser>
        <c:ser>
          <c:idx val="6"/>
          <c:order val="6"/>
          <c:tx>
            <c:strRef>
              <c:f>'By year'!$A$142</c:f>
              <c:strCache>
                <c:ptCount val="1"/>
                <c:pt idx="0">
                  <c:v>0</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pt idx="7">
                  <c:v>Total</c:v>
                </c:pt>
              </c:strCache>
            </c:strRef>
          </c:cat>
          <c:val>
            <c:numRef>
              <c:extLst>
                <c:ext xmlns:c15="http://schemas.microsoft.com/office/drawing/2012/chart" uri="{02D57815-91ED-43cb-92C2-25804820EDAC}">
                  <c15:fullRef>
                    <c15:sqref>'By year'!$B$142:$I$142</c15:sqref>
                  </c15:fullRef>
                </c:ext>
              </c:extLst>
              <c:f>'By year'!$B$142:$H$142</c:f>
            </c:numRef>
          </c:val>
          <c:extLst>
            <c:ext xmlns:c16="http://schemas.microsoft.com/office/drawing/2014/chart" uri="{C3380CC4-5D6E-409C-BE32-E72D297353CC}">
              <c16:uniqueId val="{00000006-E949-4CB1-8C26-FC40C647E75B}"/>
            </c:ext>
          </c:extLst>
        </c:ser>
        <c:ser>
          <c:idx val="7"/>
          <c:order val="7"/>
          <c:tx>
            <c:strRef>
              <c:f>'By year'!$A$143</c:f>
              <c:strCache>
                <c:ptCount val="1"/>
                <c:pt idx="0">
                  <c:v>0</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pt idx="7">
                  <c:v>Total</c:v>
                </c:pt>
              </c:strCache>
            </c:strRef>
          </c:cat>
          <c:val>
            <c:numRef>
              <c:extLst>
                <c:ext xmlns:c15="http://schemas.microsoft.com/office/drawing/2012/chart" uri="{02D57815-91ED-43cb-92C2-25804820EDAC}">
                  <c15:fullRef>
                    <c15:sqref>'By year'!$B$143:$I$143</c15:sqref>
                  </c15:fullRef>
                </c:ext>
              </c:extLst>
              <c:f>'By year'!$B$143:$H$143</c:f>
            </c:numRef>
          </c:val>
          <c:extLst>
            <c:ext xmlns:c16="http://schemas.microsoft.com/office/drawing/2014/chart" uri="{C3380CC4-5D6E-409C-BE32-E72D297353CC}">
              <c16:uniqueId val="{00000007-E949-4CB1-8C26-FC40C647E75B}"/>
            </c:ext>
          </c:extLst>
        </c:ser>
        <c:ser>
          <c:idx val="8"/>
          <c:order val="8"/>
          <c:tx>
            <c:strRef>
              <c:f>'By year'!$A$144</c:f>
              <c:strCache>
                <c:ptCount val="1"/>
                <c:pt idx="0">
                  <c:v>0</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pt idx="7">
                  <c:v>Total</c:v>
                </c:pt>
              </c:strCache>
            </c:strRef>
          </c:cat>
          <c:val>
            <c:numRef>
              <c:extLst>
                <c:ext xmlns:c15="http://schemas.microsoft.com/office/drawing/2012/chart" uri="{02D57815-91ED-43cb-92C2-25804820EDAC}">
                  <c15:fullRef>
                    <c15:sqref>'By year'!$B$144:$I$144</c15:sqref>
                  </c15:fullRef>
                </c:ext>
              </c:extLst>
              <c:f>'By year'!$B$144:$H$144</c:f>
            </c:numRef>
          </c:val>
          <c:extLst>
            <c:ext xmlns:c16="http://schemas.microsoft.com/office/drawing/2014/chart" uri="{C3380CC4-5D6E-409C-BE32-E72D297353CC}">
              <c16:uniqueId val="{00000025-E949-4CB1-8C26-FC40C647E75B}"/>
            </c:ext>
          </c:extLst>
        </c:ser>
        <c:ser>
          <c:idx val="9"/>
          <c:order val="9"/>
          <c:tx>
            <c:strRef>
              <c:f>'By year'!$A$145</c:f>
              <c:strCache>
                <c:ptCount val="1"/>
                <c:pt idx="0">
                  <c:v>0</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pt idx="7">
                  <c:v>Total</c:v>
                </c:pt>
              </c:strCache>
            </c:strRef>
          </c:cat>
          <c:val>
            <c:numRef>
              <c:extLst>
                <c:ext xmlns:c15="http://schemas.microsoft.com/office/drawing/2012/chart" uri="{02D57815-91ED-43cb-92C2-25804820EDAC}">
                  <c15:fullRef>
                    <c15:sqref>'By year'!$B$145:$I$145</c15:sqref>
                  </c15:fullRef>
                </c:ext>
              </c:extLst>
              <c:f>'By year'!$B$145:$H$145</c:f>
            </c:numRef>
          </c:val>
          <c:extLst>
            <c:ext xmlns:c16="http://schemas.microsoft.com/office/drawing/2014/chart" uri="{C3380CC4-5D6E-409C-BE32-E72D297353CC}">
              <c16:uniqueId val="{00000026-E949-4CB1-8C26-FC40C647E75B}"/>
            </c:ext>
          </c:extLst>
        </c:ser>
        <c:ser>
          <c:idx val="10"/>
          <c:order val="10"/>
          <c:tx>
            <c:strRef>
              <c:f>'By year'!$A$146</c:f>
              <c:strCache>
                <c:ptCount val="1"/>
                <c:pt idx="0">
                  <c:v>0</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pt idx="7">
                  <c:v>Total</c:v>
                </c:pt>
              </c:strCache>
            </c:strRef>
          </c:cat>
          <c:val>
            <c:numRef>
              <c:extLst>
                <c:ext xmlns:c15="http://schemas.microsoft.com/office/drawing/2012/chart" uri="{02D57815-91ED-43cb-92C2-25804820EDAC}">
                  <c15:fullRef>
                    <c15:sqref>'By year'!$B$146:$I$146</c15:sqref>
                  </c15:fullRef>
                </c:ext>
              </c:extLst>
              <c:f>'By year'!$B$146:$H$146</c:f>
            </c:numRef>
          </c:val>
          <c:extLst>
            <c:ext xmlns:c16="http://schemas.microsoft.com/office/drawing/2014/chart" uri="{C3380CC4-5D6E-409C-BE32-E72D297353CC}">
              <c16:uniqueId val="{00000027-E949-4CB1-8C26-FC40C647E75B}"/>
            </c:ext>
          </c:extLst>
        </c:ser>
        <c:ser>
          <c:idx val="11"/>
          <c:order val="11"/>
          <c:tx>
            <c:strRef>
              <c:f>'By year'!$A$147</c:f>
              <c:strCache>
                <c:ptCount val="1"/>
                <c:pt idx="0">
                  <c:v>Acromegaly product </c:v>
                </c:pt>
              </c:strCache>
            </c:strRef>
          </c:tx>
          <c:spPr>
            <a:solidFill>
              <a:schemeClr val="accent6">
                <a:lumMod val="6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year'!$B$147:$I$147</c15:sqref>
                  </c15:fullRef>
                </c:ext>
              </c:extLst>
              <c:f>'By year'!$B$147:$H$147</c:f>
              <c:numCache>
                <c:formatCode>General</c:formatCode>
                <c:ptCount val="7"/>
                <c:pt idx="0">
                  <c:v>1</c:v>
                </c:pt>
                <c:pt idx="1">
                  <c:v>0</c:v>
                </c:pt>
                <c:pt idx="2">
                  <c:v>0</c:v>
                </c:pt>
                <c:pt idx="3">
                  <c:v>0</c:v>
                </c:pt>
                <c:pt idx="4">
                  <c:v>0</c:v>
                </c:pt>
                <c:pt idx="5">
                  <c:v>0</c:v>
                </c:pt>
                <c:pt idx="6">
                  <c:v>0</c:v>
                </c:pt>
              </c:numCache>
            </c:numRef>
          </c:val>
          <c:extLst>
            <c:ext xmlns:c16="http://schemas.microsoft.com/office/drawing/2014/chart" uri="{C3380CC4-5D6E-409C-BE32-E72D297353CC}">
              <c16:uniqueId val="{00000028-E949-4CB1-8C26-FC40C647E75B}"/>
            </c:ext>
          </c:extLst>
        </c:ser>
        <c:ser>
          <c:idx val="12"/>
          <c:order val="12"/>
          <c:tx>
            <c:strRef>
              <c:f>'By year'!$A$148</c:f>
              <c:strCache>
                <c:ptCount val="1"/>
                <c:pt idx="0">
                  <c:v>Advanced renal cell carcinoma</c:v>
                </c:pt>
              </c:strCache>
            </c:strRef>
          </c:tx>
          <c:spPr>
            <a:solidFill>
              <a:schemeClr val="accent1">
                <a:lumMod val="80000"/>
                <a:lumOff val="2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year'!$B$148:$I$148</c15:sqref>
                  </c15:fullRef>
                </c:ext>
              </c:extLst>
              <c:f>'By year'!$B$148:$H$148</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29-E949-4CB1-8C26-FC40C647E75B}"/>
            </c:ext>
          </c:extLst>
        </c:ser>
        <c:ser>
          <c:idx val="13"/>
          <c:order val="13"/>
          <c:tx>
            <c:strRef>
              <c:f>'By year'!$A$149</c:f>
              <c:strCache>
                <c:ptCount val="1"/>
                <c:pt idx="0">
                  <c:v>Anticoagulant product in venous thromboembolism </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year'!$B$149:$I$149</c15:sqref>
                  </c15:fullRef>
                </c:ext>
              </c:extLst>
              <c:f>'By year'!$B$149:$H$149</c:f>
              <c:numCache>
                <c:formatCode>General</c:formatCode>
                <c:ptCount val="7"/>
                <c:pt idx="0">
                  <c:v>1</c:v>
                </c:pt>
                <c:pt idx="1">
                  <c:v>0</c:v>
                </c:pt>
                <c:pt idx="2">
                  <c:v>0</c:v>
                </c:pt>
                <c:pt idx="3">
                  <c:v>0</c:v>
                </c:pt>
                <c:pt idx="4">
                  <c:v>0</c:v>
                </c:pt>
                <c:pt idx="5">
                  <c:v>0</c:v>
                </c:pt>
                <c:pt idx="6">
                  <c:v>0</c:v>
                </c:pt>
              </c:numCache>
            </c:numRef>
          </c:val>
          <c:extLst>
            <c:ext xmlns:c16="http://schemas.microsoft.com/office/drawing/2014/chart" uri="{C3380CC4-5D6E-409C-BE32-E72D297353CC}">
              <c16:uniqueId val="{0000002A-E949-4CB1-8C26-FC40C647E75B}"/>
            </c:ext>
          </c:extLst>
        </c:ser>
        <c:ser>
          <c:idx val="14"/>
          <c:order val="14"/>
          <c:tx>
            <c:strRef>
              <c:f>'By year'!$A$150</c:f>
              <c:strCache>
                <c:ptCount val="1"/>
                <c:pt idx="0">
                  <c:v>Asthma product </c:v>
                </c:pt>
              </c:strCache>
            </c:strRef>
          </c:tx>
          <c:spPr>
            <a:solidFill>
              <a:schemeClr val="accent3">
                <a:lumMod val="80000"/>
                <a:lumOff val="2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year'!$B$150:$I$150</c15:sqref>
                  </c15:fullRef>
                </c:ext>
              </c:extLst>
              <c:f>'By year'!$B$150:$H$150</c:f>
              <c:numCache>
                <c:formatCode>General</c:formatCode>
                <c:ptCount val="7"/>
                <c:pt idx="0">
                  <c:v>0</c:v>
                </c:pt>
                <c:pt idx="1">
                  <c:v>0</c:v>
                </c:pt>
                <c:pt idx="2">
                  <c:v>1</c:v>
                </c:pt>
                <c:pt idx="3">
                  <c:v>0</c:v>
                </c:pt>
                <c:pt idx="4">
                  <c:v>0</c:v>
                </c:pt>
                <c:pt idx="5">
                  <c:v>0</c:v>
                </c:pt>
                <c:pt idx="6">
                  <c:v>0</c:v>
                </c:pt>
              </c:numCache>
            </c:numRef>
          </c:val>
          <c:extLst>
            <c:ext xmlns:c16="http://schemas.microsoft.com/office/drawing/2014/chart" uri="{C3380CC4-5D6E-409C-BE32-E72D297353CC}">
              <c16:uniqueId val="{0000002B-E949-4CB1-8C26-FC40C647E75B}"/>
            </c:ext>
          </c:extLst>
        </c:ser>
        <c:ser>
          <c:idx val="15"/>
          <c:order val="15"/>
          <c:tx>
            <c:strRef>
              <c:f>'By year'!$A$151</c:f>
              <c:strCache>
                <c:ptCount val="1"/>
                <c:pt idx="0">
                  <c:v>Chronic Obstructive Pulmonary Disease product </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year'!$B$151:$I$151</c15:sqref>
                  </c15:fullRef>
                </c:ext>
              </c:extLst>
              <c:f>'By year'!$B$151:$H$151</c:f>
              <c:numCache>
                <c:formatCode>General</c:formatCode>
                <c:ptCount val="7"/>
                <c:pt idx="0">
                  <c:v>0</c:v>
                </c:pt>
                <c:pt idx="1">
                  <c:v>0</c:v>
                </c:pt>
                <c:pt idx="2">
                  <c:v>1</c:v>
                </c:pt>
                <c:pt idx="3">
                  <c:v>0</c:v>
                </c:pt>
                <c:pt idx="4">
                  <c:v>0</c:v>
                </c:pt>
                <c:pt idx="5">
                  <c:v>0</c:v>
                </c:pt>
                <c:pt idx="6">
                  <c:v>0</c:v>
                </c:pt>
              </c:numCache>
            </c:numRef>
          </c:val>
          <c:extLst>
            <c:ext xmlns:c16="http://schemas.microsoft.com/office/drawing/2014/chart" uri="{C3380CC4-5D6E-409C-BE32-E72D297353CC}">
              <c16:uniqueId val="{0000002C-E949-4CB1-8C26-FC40C647E75B}"/>
            </c:ext>
          </c:extLst>
        </c:ser>
        <c:ser>
          <c:idx val="16"/>
          <c:order val="16"/>
          <c:tx>
            <c:strRef>
              <c:f>'By year'!$A$152</c:f>
              <c:strCache>
                <c:ptCount val="1"/>
                <c:pt idx="0">
                  <c:v>COVID-19 infection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year'!$B$152:$I$152</c15:sqref>
                  </c15:fullRef>
                </c:ext>
              </c:extLst>
              <c:f>'By year'!$B$152:$H$152</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2D-E949-4CB1-8C26-FC40C647E75B}"/>
            </c:ext>
          </c:extLst>
        </c:ser>
        <c:ser>
          <c:idx val="17"/>
          <c:order val="17"/>
          <c:tx>
            <c:strRef>
              <c:f>'By year'!$A$153</c:f>
              <c:strCache>
                <c:ptCount val="1"/>
                <c:pt idx="0">
                  <c:v>Cutaneous melanoma product </c:v>
                </c:pt>
              </c:strCache>
            </c:strRef>
          </c:tx>
          <c:spPr>
            <a:solidFill>
              <a:schemeClr val="accent6">
                <a:lumMod val="80000"/>
                <a:lumOff val="2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year'!$B$153:$I$153</c15:sqref>
                  </c15:fullRef>
                </c:ext>
              </c:extLst>
              <c:f>'By year'!$B$153:$H$153</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2E-E949-4CB1-8C26-FC40C647E75B}"/>
            </c:ext>
          </c:extLst>
        </c:ser>
        <c:ser>
          <c:idx val="18"/>
          <c:order val="18"/>
          <c:tx>
            <c:strRef>
              <c:f>'By year'!$A$154</c:f>
              <c:strCache>
                <c:ptCount val="1"/>
                <c:pt idx="0">
                  <c:v>Diabetic peripheral neuropathy/post-herpetic neuralgia product </c:v>
                </c:pt>
              </c:strCache>
            </c:strRef>
          </c:tx>
          <c:spPr>
            <a:solidFill>
              <a:schemeClr val="accent1">
                <a:lumMod val="8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year'!$B$154:$I$154</c15:sqref>
                  </c15:fullRef>
                </c:ext>
              </c:extLst>
              <c:f>'By year'!$B$154:$H$154</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2F-E949-4CB1-8C26-FC40C647E75B}"/>
            </c:ext>
          </c:extLst>
        </c:ser>
        <c:ser>
          <c:idx val="19"/>
          <c:order val="19"/>
          <c:tx>
            <c:strRef>
              <c:f>'By year'!$A$155</c:f>
              <c:strCache>
                <c:ptCount val="1"/>
                <c:pt idx="0">
                  <c:v>Digital treatment program for depression </c:v>
                </c:pt>
              </c:strCache>
            </c:strRef>
          </c:tx>
          <c:spPr>
            <a:solidFill>
              <a:schemeClr val="accent2">
                <a:lumMod val="8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year'!$B$155:$I$155</c15:sqref>
                  </c15:fullRef>
                </c:ext>
              </c:extLst>
              <c:f>'By year'!$B$155:$H$155</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30-E949-4CB1-8C26-FC40C647E75B}"/>
            </c:ext>
          </c:extLst>
        </c:ser>
        <c:ser>
          <c:idx val="20"/>
          <c:order val="20"/>
          <c:tx>
            <c:strRef>
              <c:f>'By year'!$A$156</c:f>
              <c:strCache>
                <c:ptCount val="1"/>
                <c:pt idx="0">
                  <c:v>DPP-4 / SGLT-2 combination product in T2DM (update)</c:v>
                </c:pt>
              </c:strCache>
            </c:strRef>
          </c:tx>
          <c:spPr>
            <a:solidFill>
              <a:schemeClr val="accent3">
                <a:lumMod val="8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year'!$B$156:$I$156</c15:sqref>
                  </c15:fullRef>
                </c:ext>
              </c:extLst>
              <c:f>'By year'!$B$156:$H$156</c:f>
              <c:numCache>
                <c:formatCode>General</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31-E949-4CB1-8C26-FC40C647E75B}"/>
            </c:ext>
          </c:extLst>
        </c:ser>
        <c:ser>
          <c:idx val="21"/>
          <c:order val="21"/>
          <c:tx>
            <c:strRef>
              <c:f>'By year'!$A$157</c:f>
              <c:strCache>
                <c:ptCount val="1"/>
                <c:pt idx="0">
                  <c:v>Epilepsy product (update)</c:v>
                </c:pt>
              </c:strCache>
            </c:strRef>
          </c:tx>
          <c:spPr>
            <a:solidFill>
              <a:schemeClr val="accent4">
                <a:lumMod val="8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year'!$B$157:$I$157</c15:sqref>
                  </c15:fullRef>
                </c:ext>
              </c:extLst>
              <c:f>'By year'!$B$157:$H$157</c:f>
              <c:numCache>
                <c:formatCode>General</c:formatCode>
                <c:ptCount val="7"/>
                <c:pt idx="0">
                  <c:v>0</c:v>
                </c:pt>
                <c:pt idx="1">
                  <c:v>0</c:v>
                </c:pt>
                <c:pt idx="2">
                  <c:v>0</c:v>
                </c:pt>
                <c:pt idx="3">
                  <c:v>0</c:v>
                </c:pt>
                <c:pt idx="4">
                  <c:v>1</c:v>
                </c:pt>
                <c:pt idx="5">
                  <c:v>0</c:v>
                </c:pt>
                <c:pt idx="6">
                  <c:v>0</c:v>
                </c:pt>
              </c:numCache>
            </c:numRef>
          </c:val>
          <c:extLst>
            <c:ext xmlns:c16="http://schemas.microsoft.com/office/drawing/2014/chart" uri="{C3380CC4-5D6E-409C-BE32-E72D297353CC}">
              <c16:uniqueId val="{00000032-E949-4CB1-8C26-FC40C647E75B}"/>
            </c:ext>
          </c:extLst>
        </c:ser>
        <c:ser>
          <c:idx val="22"/>
          <c:order val="22"/>
          <c:tx>
            <c:strRef>
              <c:f>'By year'!$A$158</c:f>
              <c:strCache>
                <c:ptCount val="1"/>
                <c:pt idx="0">
                  <c:v>GLP-1 agonist product in T2DM </c:v>
                </c:pt>
              </c:strCache>
            </c:strRef>
          </c:tx>
          <c:spPr>
            <a:solidFill>
              <a:schemeClr val="accent5">
                <a:lumMod val="8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year'!$B$158:$I$158</c15:sqref>
                  </c15:fullRef>
                </c:ext>
              </c:extLst>
              <c:f>'By year'!$B$158:$H$158</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33-E949-4CB1-8C26-FC40C647E75B}"/>
            </c:ext>
          </c:extLst>
        </c:ser>
        <c:ser>
          <c:idx val="23"/>
          <c:order val="23"/>
          <c:tx>
            <c:strRef>
              <c:f>'By year'!$A$159</c:f>
              <c:strCache>
                <c:ptCount val="1"/>
                <c:pt idx="0">
                  <c:v>Hepatocellular cell carcinoma/renal cell carcinoma product</c:v>
                </c:pt>
              </c:strCache>
            </c:strRef>
          </c:tx>
          <c:spPr>
            <a:solidFill>
              <a:schemeClr val="accent6">
                <a:lumMod val="8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year'!$B$159:$I$159</c15:sqref>
                  </c15:fullRef>
                </c:ext>
              </c:extLst>
              <c:f>'By year'!$B$159:$H$159</c:f>
              <c:numCache>
                <c:formatCode>General</c:formatCode>
                <c:ptCount val="7"/>
                <c:pt idx="0">
                  <c:v>0</c:v>
                </c:pt>
                <c:pt idx="1">
                  <c:v>0</c:v>
                </c:pt>
                <c:pt idx="2">
                  <c:v>0</c:v>
                </c:pt>
                <c:pt idx="3">
                  <c:v>0</c:v>
                </c:pt>
                <c:pt idx="4">
                  <c:v>1</c:v>
                </c:pt>
                <c:pt idx="5">
                  <c:v>0</c:v>
                </c:pt>
                <c:pt idx="6">
                  <c:v>0</c:v>
                </c:pt>
              </c:numCache>
            </c:numRef>
          </c:val>
          <c:extLst>
            <c:ext xmlns:c16="http://schemas.microsoft.com/office/drawing/2014/chart" uri="{C3380CC4-5D6E-409C-BE32-E72D297353CC}">
              <c16:uniqueId val="{00000034-E949-4CB1-8C26-FC40C647E75B}"/>
            </c:ext>
          </c:extLst>
        </c:ser>
        <c:ser>
          <c:idx val="24"/>
          <c:order val="24"/>
          <c:tx>
            <c:strRef>
              <c:f>'By year'!$A$160</c:f>
              <c:strCache>
                <c:ptCount val="1"/>
                <c:pt idx="0">
                  <c:v>HIV product </c:v>
                </c:pt>
              </c:strCache>
            </c:strRef>
          </c:tx>
          <c:spPr>
            <a:solidFill>
              <a:schemeClr val="accent1">
                <a:lumMod val="60000"/>
                <a:lumOff val="4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year'!$B$160:$I$160</c15:sqref>
                  </c15:fullRef>
                </c:ext>
              </c:extLst>
              <c:f>'By year'!$B$160:$H$160</c:f>
              <c:numCache>
                <c:formatCode>General</c:formatCode>
                <c:ptCount val="7"/>
                <c:pt idx="0">
                  <c:v>0</c:v>
                </c:pt>
                <c:pt idx="1">
                  <c:v>0</c:v>
                </c:pt>
                <c:pt idx="2">
                  <c:v>0</c:v>
                </c:pt>
                <c:pt idx="3">
                  <c:v>0</c:v>
                </c:pt>
                <c:pt idx="4">
                  <c:v>1</c:v>
                </c:pt>
                <c:pt idx="5">
                  <c:v>0</c:v>
                </c:pt>
                <c:pt idx="6">
                  <c:v>0</c:v>
                </c:pt>
              </c:numCache>
            </c:numRef>
          </c:val>
          <c:extLst>
            <c:ext xmlns:c16="http://schemas.microsoft.com/office/drawing/2014/chart" uri="{C3380CC4-5D6E-409C-BE32-E72D297353CC}">
              <c16:uniqueId val="{00000035-E949-4CB1-8C26-FC40C647E75B}"/>
            </c:ext>
          </c:extLst>
        </c:ser>
        <c:ser>
          <c:idx val="25"/>
          <c:order val="25"/>
          <c:tx>
            <c:strRef>
              <c:f>'By year'!$A$161</c:f>
              <c:strCache>
                <c:ptCount val="1"/>
                <c:pt idx="0">
                  <c:v>Hyperkalemia product </c:v>
                </c:pt>
              </c:strCache>
            </c:strRef>
          </c:tx>
          <c:spPr>
            <a:solidFill>
              <a:schemeClr val="accent2">
                <a:lumMod val="60000"/>
                <a:lumOff val="4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year'!$B$161:$I$161</c15:sqref>
                  </c15:fullRef>
                </c:ext>
              </c:extLst>
              <c:f>'By year'!$B$161:$H$161</c:f>
              <c:numCache>
                <c:formatCode>General</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36-E949-4CB1-8C26-FC40C647E75B}"/>
            </c:ext>
          </c:extLst>
        </c:ser>
        <c:ser>
          <c:idx val="26"/>
          <c:order val="26"/>
          <c:tx>
            <c:strRef>
              <c:f>'By year'!$A$162</c:f>
              <c:strCache>
                <c:ptCount val="1"/>
                <c:pt idx="0">
                  <c:v>Mantle Cell Lymphoma product </c:v>
                </c:pt>
              </c:strCache>
            </c:strRef>
          </c:tx>
          <c:spPr>
            <a:solidFill>
              <a:schemeClr val="accent3">
                <a:lumMod val="60000"/>
                <a:lumOff val="4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year'!$B$162:$I$162</c15:sqref>
                  </c15:fullRef>
                </c:ext>
              </c:extLst>
              <c:f>'By year'!$B$162:$H$162</c:f>
              <c:numCache>
                <c:formatCode>General</c:formatCode>
                <c:ptCount val="7"/>
                <c:pt idx="0">
                  <c:v>1</c:v>
                </c:pt>
                <c:pt idx="1">
                  <c:v>0</c:v>
                </c:pt>
                <c:pt idx="2">
                  <c:v>0</c:v>
                </c:pt>
                <c:pt idx="3">
                  <c:v>0</c:v>
                </c:pt>
                <c:pt idx="4">
                  <c:v>0</c:v>
                </c:pt>
                <c:pt idx="5">
                  <c:v>0</c:v>
                </c:pt>
                <c:pt idx="6">
                  <c:v>0</c:v>
                </c:pt>
              </c:numCache>
            </c:numRef>
          </c:val>
          <c:extLst>
            <c:ext xmlns:c16="http://schemas.microsoft.com/office/drawing/2014/chart" uri="{C3380CC4-5D6E-409C-BE32-E72D297353CC}">
              <c16:uniqueId val="{00000037-E949-4CB1-8C26-FC40C647E75B}"/>
            </c:ext>
          </c:extLst>
        </c:ser>
        <c:ser>
          <c:idx val="27"/>
          <c:order val="27"/>
          <c:tx>
            <c:strRef>
              <c:f>'By year'!$A$163</c:f>
              <c:strCache>
                <c:ptCount val="1"/>
                <c:pt idx="0">
                  <c:v>Melanoma</c:v>
                </c:pt>
              </c:strCache>
            </c:strRef>
          </c:tx>
          <c:spPr>
            <a:solidFill>
              <a:schemeClr val="accent4">
                <a:lumMod val="60000"/>
                <a:lumOff val="4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year'!$B$163:$I$163</c15:sqref>
                  </c15:fullRef>
                </c:ext>
              </c:extLst>
              <c:f>'By year'!$B$163:$H$163</c:f>
              <c:numCache>
                <c:formatCode>General</c:formatCode>
                <c:ptCount val="7"/>
                <c:pt idx="0">
                  <c:v>0</c:v>
                </c:pt>
                <c:pt idx="1">
                  <c:v>0</c:v>
                </c:pt>
                <c:pt idx="2">
                  <c:v>1</c:v>
                </c:pt>
                <c:pt idx="3">
                  <c:v>0</c:v>
                </c:pt>
                <c:pt idx="4">
                  <c:v>0</c:v>
                </c:pt>
                <c:pt idx="5">
                  <c:v>0</c:v>
                </c:pt>
                <c:pt idx="6">
                  <c:v>0</c:v>
                </c:pt>
              </c:numCache>
            </c:numRef>
          </c:val>
          <c:extLst>
            <c:ext xmlns:c16="http://schemas.microsoft.com/office/drawing/2014/chart" uri="{C3380CC4-5D6E-409C-BE32-E72D297353CC}">
              <c16:uniqueId val="{00000038-E949-4CB1-8C26-FC40C647E75B}"/>
            </c:ext>
          </c:extLst>
        </c:ser>
        <c:ser>
          <c:idx val="28"/>
          <c:order val="28"/>
          <c:tx>
            <c:strRef>
              <c:f>'By year'!$A$164</c:f>
              <c:strCache>
                <c:ptCount val="1"/>
                <c:pt idx="0">
                  <c:v>Metastatic colorectal cancer product</c:v>
                </c:pt>
              </c:strCache>
            </c:strRef>
          </c:tx>
          <c:spPr>
            <a:solidFill>
              <a:schemeClr val="accent5">
                <a:lumMod val="60000"/>
                <a:lumOff val="4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year'!$B$164:$I$164</c15:sqref>
                  </c15:fullRef>
                </c:ext>
              </c:extLst>
              <c:f>'By year'!$B$164:$H$164</c:f>
              <c:numCache>
                <c:formatCode>General</c:formatCode>
                <c:ptCount val="7"/>
                <c:pt idx="0">
                  <c:v>0</c:v>
                </c:pt>
                <c:pt idx="1">
                  <c:v>0</c:v>
                </c:pt>
                <c:pt idx="2">
                  <c:v>1</c:v>
                </c:pt>
                <c:pt idx="3">
                  <c:v>0</c:v>
                </c:pt>
                <c:pt idx="4">
                  <c:v>0</c:v>
                </c:pt>
                <c:pt idx="5">
                  <c:v>0</c:v>
                </c:pt>
                <c:pt idx="6">
                  <c:v>0</c:v>
                </c:pt>
              </c:numCache>
            </c:numRef>
          </c:val>
          <c:extLst>
            <c:ext xmlns:c16="http://schemas.microsoft.com/office/drawing/2014/chart" uri="{C3380CC4-5D6E-409C-BE32-E72D297353CC}">
              <c16:uniqueId val="{00000039-E949-4CB1-8C26-FC40C647E75B}"/>
            </c:ext>
          </c:extLst>
        </c:ser>
        <c:ser>
          <c:idx val="29"/>
          <c:order val="29"/>
          <c:tx>
            <c:strRef>
              <c:f>'By year'!$A$165</c:f>
              <c:strCache>
                <c:ptCount val="1"/>
                <c:pt idx="0">
                  <c:v>Non Hodgkin Lymphoma</c:v>
                </c:pt>
              </c:strCache>
            </c:strRef>
          </c:tx>
          <c:spPr>
            <a:solidFill>
              <a:schemeClr val="accent6">
                <a:lumMod val="60000"/>
                <a:lumOff val="4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year'!$B$165:$I$165</c15:sqref>
                  </c15:fullRef>
                </c:ext>
              </c:extLst>
              <c:f>'By year'!$B$165:$H$165</c:f>
              <c:numCache>
                <c:formatCode>General</c:formatCode>
                <c:ptCount val="7"/>
                <c:pt idx="0">
                  <c:v>0</c:v>
                </c:pt>
                <c:pt idx="1">
                  <c:v>0</c:v>
                </c:pt>
                <c:pt idx="2">
                  <c:v>0</c:v>
                </c:pt>
                <c:pt idx="3">
                  <c:v>0</c:v>
                </c:pt>
                <c:pt idx="4">
                  <c:v>0</c:v>
                </c:pt>
                <c:pt idx="5">
                  <c:v>1</c:v>
                </c:pt>
                <c:pt idx="6">
                  <c:v>0</c:v>
                </c:pt>
              </c:numCache>
            </c:numRef>
          </c:val>
          <c:extLst>
            <c:ext xmlns:c16="http://schemas.microsoft.com/office/drawing/2014/chart" uri="{C3380CC4-5D6E-409C-BE32-E72D297353CC}">
              <c16:uniqueId val="{0000003A-E949-4CB1-8C26-FC40C647E75B}"/>
            </c:ext>
          </c:extLst>
        </c:ser>
        <c:ser>
          <c:idx val="30"/>
          <c:order val="30"/>
          <c:tx>
            <c:strRef>
              <c:f>'By year'!$A$166</c:f>
              <c:strCache>
                <c:ptCount val="1"/>
                <c:pt idx="0">
                  <c:v>Non-small cell lung cancer IO product </c:v>
                </c:pt>
              </c:strCache>
            </c:strRef>
          </c:tx>
          <c:spPr>
            <a:solidFill>
              <a:schemeClr val="accent1">
                <a:lumMod val="5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year'!$B$166:$I$166</c15:sqref>
                  </c15:fullRef>
                </c:ext>
              </c:extLst>
              <c:f>'By year'!$B$166:$H$166</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3B-E949-4CB1-8C26-FC40C647E75B}"/>
            </c:ext>
          </c:extLst>
        </c:ser>
        <c:ser>
          <c:idx val="31"/>
          <c:order val="31"/>
          <c:tx>
            <c:strRef>
              <c:f>'By year'!$A$167</c:f>
              <c:strCache>
                <c:ptCount val="1"/>
                <c:pt idx="0">
                  <c:v>Pseudomonas aeruginosa anti-infective product </c:v>
                </c:pt>
              </c:strCache>
            </c:strRef>
          </c:tx>
          <c:spPr>
            <a:solidFill>
              <a:schemeClr val="accent2">
                <a:lumMod val="5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year'!$B$167:$I$167</c15:sqref>
                  </c15:fullRef>
                </c:ext>
              </c:extLst>
              <c:f>'By year'!$B$167:$H$167</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3C-E949-4CB1-8C26-FC40C647E75B}"/>
            </c:ext>
          </c:extLst>
        </c:ser>
        <c:ser>
          <c:idx val="32"/>
          <c:order val="32"/>
          <c:tx>
            <c:strRef>
              <c:f>'By year'!$A$168</c:f>
              <c:strCache>
                <c:ptCount val="1"/>
                <c:pt idx="0">
                  <c:v>Relapsed/refractory AML product </c:v>
                </c:pt>
              </c:strCache>
            </c:strRef>
          </c:tx>
          <c:spPr>
            <a:solidFill>
              <a:schemeClr val="accent3">
                <a:lumMod val="5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year'!$B$168:$I$168</c15:sqref>
                  </c15:fullRef>
                </c:ext>
              </c:extLst>
              <c:f>'By year'!$B$168:$H$168</c:f>
              <c:numCache>
                <c:formatCode>General</c:formatCode>
                <c:ptCount val="7"/>
                <c:pt idx="0">
                  <c:v>0</c:v>
                </c:pt>
                <c:pt idx="1">
                  <c:v>0</c:v>
                </c:pt>
                <c:pt idx="2">
                  <c:v>0</c:v>
                </c:pt>
                <c:pt idx="3">
                  <c:v>0</c:v>
                </c:pt>
                <c:pt idx="4">
                  <c:v>0</c:v>
                </c:pt>
                <c:pt idx="5">
                  <c:v>1</c:v>
                </c:pt>
                <c:pt idx="6">
                  <c:v>0</c:v>
                </c:pt>
              </c:numCache>
            </c:numRef>
          </c:val>
          <c:extLst>
            <c:ext xmlns:c16="http://schemas.microsoft.com/office/drawing/2014/chart" uri="{C3380CC4-5D6E-409C-BE32-E72D297353CC}">
              <c16:uniqueId val="{0000003D-E949-4CB1-8C26-FC40C647E75B}"/>
            </c:ext>
          </c:extLst>
        </c:ser>
        <c:ser>
          <c:idx val="33"/>
          <c:order val="33"/>
          <c:tx>
            <c:strRef>
              <c:f>'By year'!$A$169</c:f>
              <c:strCache>
                <c:ptCount val="1"/>
                <c:pt idx="0">
                  <c:v>Unresectable malignant pleural mesothelioma</c:v>
                </c:pt>
              </c:strCache>
            </c:strRef>
          </c:tx>
          <c:spPr>
            <a:solidFill>
              <a:schemeClr val="accent4">
                <a:lumMod val="5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year'!$B$169:$I$169</c15:sqref>
                  </c15:fullRef>
                </c:ext>
              </c:extLst>
              <c:f>'By year'!$B$169:$H$169</c:f>
              <c:numCache>
                <c:formatCode>General</c:formatCode>
                <c:ptCount val="7"/>
                <c:pt idx="0">
                  <c:v>0</c:v>
                </c:pt>
                <c:pt idx="1">
                  <c:v>0</c:v>
                </c:pt>
                <c:pt idx="2">
                  <c:v>0</c:v>
                </c:pt>
                <c:pt idx="3">
                  <c:v>0</c:v>
                </c:pt>
                <c:pt idx="4">
                  <c:v>0</c:v>
                </c:pt>
                <c:pt idx="5">
                  <c:v>1</c:v>
                </c:pt>
                <c:pt idx="6">
                  <c:v>0</c:v>
                </c:pt>
              </c:numCache>
            </c:numRef>
          </c:val>
          <c:extLst>
            <c:ext xmlns:c16="http://schemas.microsoft.com/office/drawing/2014/chart" uri="{C3380CC4-5D6E-409C-BE32-E72D297353CC}">
              <c16:uniqueId val="{0000003E-E949-4CB1-8C26-FC40C647E75B}"/>
            </c:ext>
          </c:extLst>
        </c:ser>
        <c:ser>
          <c:idx val="34"/>
          <c:order val="34"/>
          <c:tx>
            <c:strRef>
              <c:f>'By year'!$A$170</c:f>
              <c:strCache>
                <c:ptCount val="1"/>
                <c:pt idx="0">
                  <c:v>von Willebrand disease (an inherited bleeding disorder)</c:v>
                </c:pt>
              </c:strCache>
            </c:strRef>
          </c:tx>
          <c:spPr>
            <a:solidFill>
              <a:schemeClr val="accent5">
                <a:lumMod val="50000"/>
              </a:schemeClr>
            </a:solidFill>
            <a:ln>
              <a:noFill/>
            </a:ln>
            <a:effectLst/>
          </c:spPr>
          <c:invertIfNegative val="0"/>
          <c:cat>
            <c:strRef>
              <c:extLst>
                <c:ext xmlns:c15="http://schemas.microsoft.com/office/drawing/2012/chart" uri="{02D57815-91ED-43cb-92C2-25804820EDAC}">
                  <c15:fullRef>
                    <c15:sqref>'By year'!$B$135:$I$135</c15:sqref>
                  </c15:fullRef>
                </c:ext>
              </c:extLst>
              <c:f>'By year'!$B$135:$H$135</c:f>
              <c:strCache>
                <c:ptCount val="7"/>
                <c:pt idx="0">
                  <c:v>2015</c:v>
                </c:pt>
                <c:pt idx="1">
                  <c:v>2016</c:v>
                </c:pt>
                <c:pt idx="2">
                  <c:v>2017</c:v>
                </c:pt>
                <c:pt idx="3">
                  <c:v>2018</c:v>
                </c:pt>
                <c:pt idx="4">
                  <c:v>2019</c:v>
                </c:pt>
                <c:pt idx="5">
                  <c:v>2020</c:v>
                </c:pt>
                <c:pt idx="6">
                  <c:v>2021</c:v>
                </c:pt>
              </c:strCache>
            </c:strRef>
          </c:cat>
          <c:val>
            <c:numRef>
              <c:extLst>
                <c:ext xmlns:c15="http://schemas.microsoft.com/office/drawing/2012/chart" uri="{02D57815-91ED-43cb-92C2-25804820EDAC}">
                  <c15:fullRef>
                    <c15:sqref>'By year'!$B$170:$I$170</c15:sqref>
                  </c15:fullRef>
                </c:ext>
              </c:extLst>
              <c:f>'By year'!$B$170:$H$170</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3F-E949-4CB1-8C26-FC40C647E75B}"/>
            </c:ext>
          </c:extLst>
        </c:ser>
        <c:dLbls>
          <c:showLegendKey val="0"/>
          <c:showVal val="0"/>
          <c:showCatName val="0"/>
          <c:showSerName val="0"/>
          <c:showPercent val="0"/>
          <c:showBubbleSize val="0"/>
        </c:dLbls>
        <c:gapWidth val="219"/>
        <c:overlap val="100"/>
        <c:axId val="717181800"/>
        <c:axId val="717184424"/>
        <c:extLst>
          <c:ext xmlns:c15="http://schemas.microsoft.com/office/drawing/2012/chart" uri="{02D57815-91ED-43cb-92C2-25804820EDAC}">
            <c15:filteredBarSeries>
              <c15:ser>
                <c:idx val="35"/>
                <c:order val="35"/>
                <c:tx>
                  <c:strRef>
                    <c:extLst>
                      <c:ext uri="{02D57815-91ED-43cb-92C2-25804820EDAC}">
                        <c15:formulaRef>
                          <c15:sqref>'By year'!$A$171</c15:sqref>
                        </c15:formulaRef>
                      </c:ext>
                    </c:extLst>
                    <c:strCache>
                      <c:ptCount val="1"/>
                      <c:pt idx="0">
                        <c:v>Total</c:v>
                      </c:pt>
                    </c:strCache>
                  </c:strRef>
                </c:tx>
                <c:spPr>
                  <a:solidFill>
                    <a:schemeClr val="accent6">
                      <a:lumMod val="50000"/>
                    </a:schemeClr>
                  </a:solidFill>
                  <a:ln w="38100">
                    <a:noFill/>
                    <a:prstDash val="lgDash"/>
                  </a:ln>
                  <a:effectLst/>
                </c:spPr>
                <c:invertIfNegative val="0"/>
                <c:cat>
                  <c:strRef>
                    <c:extLst>
                      <c:ext uri="{02D57815-91ED-43cb-92C2-25804820EDAC}">
                        <c15:fullRef>
                          <c15:sqref>'By year'!$B$135:$I$135</c15:sqref>
                        </c15:fullRef>
                        <c15:formulaRef>
                          <c15:sqref>'By year'!$B$135:$H$135</c15:sqref>
                        </c15:formulaRef>
                      </c:ext>
                    </c:extLst>
                    <c:strCache>
                      <c:ptCount val="7"/>
                      <c:pt idx="0">
                        <c:v>2015</c:v>
                      </c:pt>
                      <c:pt idx="1">
                        <c:v>2016</c:v>
                      </c:pt>
                      <c:pt idx="2">
                        <c:v>2017</c:v>
                      </c:pt>
                      <c:pt idx="3">
                        <c:v>2018</c:v>
                      </c:pt>
                      <c:pt idx="4">
                        <c:v>2019</c:v>
                      </c:pt>
                      <c:pt idx="5">
                        <c:v>2020</c:v>
                      </c:pt>
                      <c:pt idx="6">
                        <c:v>2021</c:v>
                      </c:pt>
                    </c:strCache>
                  </c:strRef>
                </c:cat>
                <c:val>
                  <c:numRef>
                    <c:extLst>
                      <c:ext uri="{02D57815-91ED-43cb-92C2-25804820EDAC}">
                        <c15:fullRef>
                          <c15:sqref>'By year'!$B$171:$I$171</c15:sqref>
                        </c15:fullRef>
                        <c15:formulaRef>
                          <c15:sqref>'By year'!$B$171:$H$171</c15:sqref>
                        </c15:formulaRef>
                      </c:ext>
                    </c:extLst>
                    <c:numCache>
                      <c:formatCode>General</c:formatCode>
                      <c:ptCount val="7"/>
                      <c:pt idx="0">
                        <c:v>3</c:v>
                      </c:pt>
                      <c:pt idx="1">
                        <c:v>2</c:v>
                      </c:pt>
                      <c:pt idx="2">
                        <c:v>4</c:v>
                      </c:pt>
                      <c:pt idx="3">
                        <c:v>6</c:v>
                      </c:pt>
                      <c:pt idx="4">
                        <c:v>3</c:v>
                      </c:pt>
                      <c:pt idx="5">
                        <c:v>3</c:v>
                      </c:pt>
                      <c:pt idx="6">
                        <c:v>3</c:v>
                      </c:pt>
                    </c:numCache>
                  </c:numRef>
                </c:val>
                <c:extLst>
                  <c:ext xmlns:c16="http://schemas.microsoft.com/office/drawing/2014/chart" uri="{C3380CC4-5D6E-409C-BE32-E72D297353CC}">
                    <c16:uniqueId val="{00000040-E949-4CB1-8C26-FC40C647E75B}"/>
                  </c:ext>
                </c:extLst>
              </c15:ser>
            </c15:filteredBarSeries>
          </c:ext>
        </c:extLst>
      </c:barChart>
      <c:catAx>
        <c:axId val="717181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84424"/>
        <c:crosses val="autoZero"/>
        <c:auto val="1"/>
        <c:lblAlgn val="ctr"/>
        <c:lblOffset val="100"/>
        <c:noMultiLvlLbl val="0"/>
      </c:catAx>
      <c:valAx>
        <c:axId val="717184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81800"/>
        <c:crosses val="autoZero"/>
        <c:crossBetween val="between"/>
      </c:valAx>
      <c:spPr>
        <a:noFill/>
        <a:ln>
          <a:noFill/>
        </a:ln>
        <a:effectLst/>
      </c:spPr>
    </c:plotArea>
    <c:legend>
      <c:legendPos val="r"/>
      <c:layout>
        <c:manualLayout>
          <c:xMode val="edge"/>
          <c:yMode val="edge"/>
          <c:x val="0.67286008213555848"/>
          <c:y val="3.5643117289906392E-2"/>
          <c:w val="0.32107192199075796"/>
          <c:h val="0.947050479953981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'By year'!$A$48</c:f>
              <c:strCache>
                <c:ptCount val="1"/>
                <c:pt idx="0">
                  <c:v>England</c:v>
                </c:pt>
              </c:strCache>
            </c:strRef>
          </c:tx>
          <c:spPr>
            <a:solidFill>
              <a:schemeClr val="accent1"/>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strCache>
            </c:strRef>
          </c:cat>
          <c:val>
            <c:numRef>
              <c:extLst>
                <c:ext xmlns:c15="http://schemas.microsoft.com/office/drawing/2012/chart" uri="{02D57815-91ED-43cb-92C2-25804820EDAC}">
                  <c15:fullRef>
                    <c15:sqref>'By year'!$B$48:$K$48</c15:sqref>
                  </c15:fullRef>
                </c:ext>
              </c:extLst>
              <c:f>'By year'!$B$48:$J$48</c:f>
              <c:numCache>
                <c:formatCode>General</c:formatCode>
                <c:ptCount val="9"/>
                <c:pt idx="0">
                  <c:v>4</c:v>
                </c:pt>
                <c:pt idx="1">
                  <c:v>5</c:v>
                </c:pt>
                <c:pt idx="2">
                  <c:v>3</c:v>
                </c:pt>
                <c:pt idx="3">
                  <c:v>5</c:v>
                </c:pt>
                <c:pt idx="4">
                  <c:v>3</c:v>
                </c:pt>
                <c:pt idx="5">
                  <c:v>5</c:v>
                </c:pt>
                <c:pt idx="6">
                  <c:v>4</c:v>
                </c:pt>
                <c:pt idx="7">
                  <c:v>9</c:v>
                </c:pt>
                <c:pt idx="8">
                  <c:v>5</c:v>
                </c:pt>
              </c:numCache>
            </c:numRef>
          </c:val>
          <c:extLst>
            <c:ext xmlns:c16="http://schemas.microsoft.com/office/drawing/2014/chart" uri="{C3380CC4-5D6E-409C-BE32-E72D297353CC}">
              <c16:uniqueId val="{00000000-CBB6-4177-B269-7FDA231FFC7A}"/>
            </c:ext>
          </c:extLst>
        </c:ser>
        <c:ser>
          <c:idx val="1"/>
          <c:order val="1"/>
          <c:tx>
            <c:strRef>
              <c:f>'By year'!$A$49</c:f>
              <c:strCache>
                <c:ptCount val="1"/>
                <c:pt idx="0">
                  <c:v>Scotland</c:v>
                </c:pt>
              </c:strCache>
            </c:strRef>
          </c:tx>
          <c:spPr>
            <a:solidFill>
              <a:schemeClr val="accent2"/>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strCache>
            </c:strRef>
          </c:cat>
          <c:val>
            <c:numRef>
              <c:extLst>
                <c:ext xmlns:c15="http://schemas.microsoft.com/office/drawing/2012/chart" uri="{02D57815-91ED-43cb-92C2-25804820EDAC}">
                  <c15:fullRef>
                    <c15:sqref>'By year'!$B$49:$K$49</c15:sqref>
                  </c15:fullRef>
                </c:ext>
              </c:extLst>
              <c:f>'By year'!$B$49:$J$49</c:f>
              <c:numCache>
                <c:formatCode>General</c:formatCode>
                <c:ptCount val="9"/>
                <c:pt idx="0">
                  <c:v>2</c:v>
                </c:pt>
                <c:pt idx="1">
                  <c:v>1</c:v>
                </c:pt>
                <c:pt idx="2">
                  <c:v>0</c:v>
                </c:pt>
                <c:pt idx="3">
                  <c:v>9</c:v>
                </c:pt>
                <c:pt idx="4">
                  <c:v>1</c:v>
                </c:pt>
                <c:pt idx="5">
                  <c:v>1</c:v>
                </c:pt>
                <c:pt idx="6">
                  <c:v>2</c:v>
                </c:pt>
                <c:pt idx="7">
                  <c:v>3</c:v>
                </c:pt>
                <c:pt idx="8">
                  <c:v>3</c:v>
                </c:pt>
              </c:numCache>
            </c:numRef>
          </c:val>
          <c:extLst>
            <c:ext xmlns:c16="http://schemas.microsoft.com/office/drawing/2014/chart" uri="{C3380CC4-5D6E-409C-BE32-E72D297353CC}">
              <c16:uniqueId val="{00000001-CBB6-4177-B269-7FDA231FFC7A}"/>
            </c:ext>
          </c:extLst>
        </c:ser>
        <c:ser>
          <c:idx val="2"/>
          <c:order val="2"/>
          <c:tx>
            <c:strRef>
              <c:f>'By year'!$A$50</c:f>
              <c:strCache>
                <c:ptCount val="1"/>
                <c:pt idx="0">
                  <c:v>Wales</c:v>
                </c:pt>
              </c:strCache>
            </c:strRef>
          </c:tx>
          <c:spPr>
            <a:solidFill>
              <a:schemeClr val="accent3"/>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strCache>
            </c:strRef>
          </c:cat>
          <c:val>
            <c:numRef>
              <c:extLst>
                <c:ext xmlns:c15="http://schemas.microsoft.com/office/drawing/2012/chart" uri="{02D57815-91ED-43cb-92C2-25804820EDAC}">
                  <c15:fullRef>
                    <c15:sqref>'By year'!$B$50:$K$50</c15:sqref>
                  </c15:fullRef>
                </c:ext>
              </c:extLst>
              <c:f>'By year'!$B$50:$J$50</c:f>
              <c:numCache>
                <c:formatCode>General</c:formatCode>
                <c:ptCount val="9"/>
                <c:pt idx="0">
                  <c:v>0</c:v>
                </c:pt>
                <c:pt idx="1">
                  <c:v>1</c:v>
                </c:pt>
                <c:pt idx="2">
                  <c:v>0</c:v>
                </c:pt>
                <c:pt idx="3">
                  <c:v>1</c:v>
                </c:pt>
                <c:pt idx="4">
                  <c:v>1</c:v>
                </c:pt>
                <c:pt idx="5">
                  <c:v>0</c:v>
                </c:pt>
                <c:pt idx="6">
                  <c:v>2</c:v>
                </c:pt>
                <c:pt idx="7">
                  <c:v>1</c:v>
                </c:pt>
                <c:pt idx="8">
                  <c:v>0</c:v>
                </c:pt>
              </c:numCache>
            </c:numRef>
          </c:val>
          <c:extLst>
            <c:ext xmlns:c16="http://schemas.microsoft.com/office/drawing/2014/chart" uri="{C3380CC4-5D6E-409C-BE32-E72D297353CC}">
              <c16:uniqueId val="{00000002-CBB6-4177-B269-7FDA231FFC7A}"/>
            </c:ext>
          </c:extLst>
        </c:ser>
        <c:ser>
          <c:idx val="3"/>
          <c:order val="3"/>
          <c:tx>
            <c:strRef>
              <c:f>'By year'!$A$51</c:f>
              <c:strCache>
                <c:ptCount val="1"/>
                <c:pt idx="0">
                  <c:v>Ireland</c:v>
                </c:pt>
              </c:strCache>
            </c:strRef>
          </c:tx>
          <c:spPr>
            <a:solidFill>
              <a:schemeClr val="accent4"/>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strCache>
            </c:strRef>
          </c:cat>
          <c:val>
            <c:numRef>
              <c:extLst>
                <c:ext xmlns:c15="http://schemas.microsoft.com/office/drawing/2012/chart" uri="{02D57815-91ED-43cb-92C2-25804820EDAC}">
                  <c15:fullRef>
                    <c15:sqref>'By year'!$B$51:$K$51</c15:sqref>
                  </c15:fullRef>
                </c:ext>
              </c:extLst>
              <c:f>'By year'!$B$51:$J$51</c:f>
              <c:numCache>
                <c:formatCode>General</c:formatCode>
                <c:ptCount val="9"/>
                <c:pt idx="0">
                  <c:v>0</c:v>
                </c:pt>
                <c:pt idx="1">
                  <c:v>3</c:v>
                </c:pt>
                <c:pt idx="2">
                  <c:v>2</c:v>
                </c:pt>
                <c:pt idx="3">
                  <c:v>2</c:v>
                </c:pt>
                <c:pt idx="4">
                  <c:v>2</c:v>
                </c:pt>
                <c:pt idx="5">
                  <c:v>2</c:v>
                </c:pt>
                <c:pt idx="6">
                  <c:v>2</c:v>
                </c:pt>
                <c:pt idx="7">
                  <c:v>3</c:v>
                </c:pt>
                <c:pt idx="8">
                  <c:v>2</c:v>
                </c:pt>
              </c:numCache>
            </c:numRef>
          </c:val>
          <c:extLst>
            <c:ext xmlns:c16="http://schemas.microsoft.com/office/drawing/2014/chart" uri="{C3380CC4-5D6E-409C-BE32-E72D297353CC}">
              <c16:uniqueId val="{00000003-CBB6-4177-B269-7FDA231FFC7A}"/>
            </c:ext>
          </c:extLst>
        </c:ser>
        <c:ser>
          <c:idx val="4"/>
          <c:order val="4"/>
          <c:tx>
            <c:strRef>
              <c:f>'By year'!$A$52</c:f>
              <c:strCache>
                <c:ptCount val="1"/>
                <c:pt idx="0">
                  <c:v>Germany</c:v>
                </c:pt>
              </c:strCache>
            </c:strRef>
          </c:tx>
          <c:spPr>
            <a:solidFill>
              <a:schemeClr val="accent5"/>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strCache>
            </c:strRef>
          </c:cat>
          <c:val>
            <c:numRef>
              <c:extLst>
                <c:ext xmlns:c15="http://schemas.microsoft.com/office/drawing/2012/chart" uri="{02D57815-91ED-43cb-92C2-25804820EDAC}">
                  <c15:fullRef>
                    <c15:sqref>'By year'!$B$52:$K$52</c15:sqref>
                  </c15:fullRef>
                </c:ext>
              </c:extLst>
              <c:f>'By year'!$B$52:$J$52</c:f>
              <c:numCache>
                <c:formatCode>General</c:formatCode>
                <c:ptCount val="9"/>
                <c:pt idx="0">
                  <c:v>0</c:v>
                </c:pt>
                <c:pt idx="1">
                  <c:v>0</c:v>
                </c:pt>
                <c:pt idx="2">
                  <c:v>0</c:v>
                </c:pt>
                <c:pt idx="3">
                  <c:v>7</c:v>
                </c:pt>
                <c:pt idx="4">
                  <c:v>9</c:v>
                </c:pt>
                <c:pt idx="5">
                  <c:v>11</c:v>
                </c:pt>
                <c:pt idx="6">
                  <c:v>12</c:v>
                </c:pt>
                <c:pt idx="7">
                  <c:v>14</c:v>
                </c:pt>
                <c:pt idx="8">
                  <c:v>25</c:v>
                </c:pt>
              </c:numCache>
            </c:numRef>
          </c:val>
          <c:extLst>
            <c:ext xmlns:c16="http://schemas.microsoft.com/office/drawing/2014/chart" uri="{C3380CC4-5D6E-409C-BE32-E72D297353CC}">
              <c16:uniqueId val="{00000004-CBB6-4177-B269-7FDA231FFC7A}"/>
            </c:ext>
          </c:extLst>
        </c:ser>
        <c:ser>
          <c:idx val="5"/>
          <c:order val="5"/>
          <c:tx>
            <c:strRef>
              <c:f>'By year'!$A$53</c:f>
              <c:strCache>
                <c:ptCount val="1"/>
                <c:pt idx="0">
                  <c:v>Spain</c:v>
                </c:pt>
              </c:strCache>
            </c:strRef>
          </c:tx>
          <c:spPr>
            <a:solidFill>
              <a:schemeClr val="accent6"/>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strCache>
            </c:strRef>
          </c:cat>
          <c:val>
            <c:numRef>
              <c:extLst>
                <c:ext xmlns:c15="http://schemas.microsoft.com/office/drawing/2012/chart" uri="{02D57815-91ED-43cb-92C2-25804820EDAC}">
                  <c15:fullRef>
                    <c15:sqref>'By year'!$B$53:$K$53</c15:sqref>
                  </c15:fullRef>
                </c:ext>
              </c:extLst>
              <c:f>'By year'!$B$53:$J$53</c:f>
              <c:numCache>
                <c:formatCode>General</c:formatCode>
                <c:ptCount val="9"/>
                <c:pt idx="0">
                  <c:v>0</c:v>
                </c:pt>
                <c:pt idx="1">
                  <c:v>0</c:v>
                </c:pt>
                <c:pt idx="2">
                  <c:v>0</c:v>
                </c:pt>
                <c:pt idx="3">
                  <c:v>5</c:v>
                </c:pt>
                <c:pt idx="4">
                  <c:v>8</c:v>
                </c:pt>
                <c:pt idx="5">
                  <c:v>6</c:v>
                </c:pt>
                <c:pt idx="6">
                  <c:v>7</c:v>
                </c:pt>
                <c:pt idx="7">
                  <c:v>7</c:v>
                </c:pt>
                <c:pt idx="8">
                  <c:v>5</c:v>
                </c:pt>
              </c:numCache>
            </c:numRef>
          </c:val>
          <c:extLst>
            <c:ext xmlns:c16="http://schemas.microsoft.com/office/drawing/2014/chart" uri="{C3380CC4-5D6E-409C-BE32-E72D297353CC}">
              <c16:uniqueId val="{00000005-CBB6-4177-B269-7FDA231FFC7A}"/>
            </c:ext>
          </c:extLst>
        </c:ser>
        <c:ser>
          <c:idx val="6"/>
          <c:order val="6"/>
          <c:tx>
            <c:strRef>
              <c:f>'By year'!$A$54</c:f>
              <c:strCache>
                <c:ptCount val="1"/>
                <c:pt idx="0">
                  <c:v>Italy</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strCache>
            </c:strRef>
          </c:cat>
          <c:val>
            <c:numRef>
              <c:extLst>
                <c:ext xmlns:c15="http://schemas.microsoft.com/office/drawing/2012/chart" uri="{02D57815-91ED-43cb-92C2-25804820EDAC}">
                  <c15:fullRef>
                    <c15:sqref>'By year'!$B$54:$K$54</c15:sqref>
                  </c15:fullRef>
                </c:ext>
              </c:extLst>
              <c:f>'By year'!$B$54:$J$54</c:f>
              <c:numCache>
                <c:formatCode>General</c:formatCode>
                <c:ptCount val="9"/>
                <c:pt idx="0">
                  <c:v>0</c:v>
                </c:pt>
                <c:pt idx="1">
                  <c:v>0</c:v>
                </c:pt>
                <c:pt idx="2">
                  <c:v>0</c:v>
                </c:pt>
                <c:pt idx="3">
                  <c:v>0</c:v>
                </c:pt>
                <c:pt idx="4">
                  <c:v>0</c:v>
                </c:pt>
                <c:pt idx="5">
                  <c:v>0</c:v>
                </c:pt>
                <c:pt idx="6">
                  <c:v>6</c:v>
                </c:pt>
                <c:pt idx="7">
                  <c:v>6</c:v>
                </c:pt>
                <c:pt idx="8">
                  <c:v>17</c:v>
                </c:pt>
              </c:numCache>
            </c:numRef>
          </c:val>
          <c:extLst>
            <c:ext xmlns:c16="http://schemas.microsoft.com/office/drawing/2014/chart" uri="{C3380CC4-5D6E-409C-BE32-E72D297353CC}">
              <c16:uniqueId val="{00000006-CBB6-4177-B269-7FDA231FFC7A}"/>
            </c:ext>
          </c:extLst>
        </c:ser>
        <c:ser>
          <c:idx val="7"/>
          <c:order val="7"/>
          <c:tx>
            <c:strRef>
              <c:f>'By year'!$A$55</c:f>
              <c:strCache>
                <c:ptCount val="1"/>
                <c:pt idx="0">
                  <c:v>France</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strCache>
            </c:strRef>
          </c:cat>
          <c:val>
            <c:numRef>
              <c:extLst>
                <c:ext xmlns:c15="http://schemas.microsoft.com/office/drawing/2012/chart" uri="{02D57815-91ED-43cb-92C2-25804820EDAC}">
                  <c15:fullRef>
                    <c15:sqref>'By year'!$B$55:$K$55</c15:sqref>
                  </c15:fullRef>
                </c:ext>
              </c:extLst>
              <c:f>'By year'!$B$55:$J$55</c:f>
              <c:numCache>
                <c:formatCode>General</c:formatCode>
                <c:ptCount val="9"/>
                <c:pt idx="0">
                  <c:v>0</c:v>
                </c:pt>
                <c:pt idx="1">
                  <c:v>0</c:v>
                </c:pt>
                <c:pt idx="2">
                  <c:v>0</c:v>
                </c:pt>
                <c:pt idx="3">
                  <c:v>41</c:v>
                </c:pt>
                <c:pt idx="4">
                  <c:v>40</c:v>
                </c:pt>
                <c:pt idx="5">
                  <c:v>28</c:v>
                </c:pt>
                <c:pt idx="6">
                  <c:v>31</c:v>
                </c:pt>
                <c:pt idx="7">
                  <c:v>41</c:v>
                </c:pt>
                <c:pt idx="8">
                  <c:v>41</c:v>
                </c:pt>
              </c:numCache>
            </c:numRef>
          </c:val>
          <c:extLst>
            <c:ext xmlns:c16="http://schemas.microsoft.com/office/drawing/2014/chart" uri="{C3380CC4-5D6E-409C-BE32-E72D297353CC}">
              <c16:uniqueId val="{00000007-CBB6-4177-B269-7FDA231FFC7A}"/>
            </c:ext>
          </c:extLst>
        </c:ser>
        <c:ser>
          <c:idx val="8"/>
          <c:order val="8"/>
          <c:tx>
            <c:strRef>
              <c:f>'By year'!$A$56</c:f>
              <c:strCache>
                <c:ptCount val="1"/>
                <c:pt idx="0">
                  <c:v>Portugal</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strCache>
            </c:strRef>
          </c:cat>
          <c:val>
            <c:numRef>
              <c:extLst>
                <c:ext xmlns:c15="http://schemas.microsoft.com/office/drawing/2012/chart" uri="{02D57815-91ED-43cb-92C2-25804820EDAC}">
                  <c15:fullRef>
                    <c15:sqref>'By year'!$B$56:$K$56</c15:sqref>
                  </c15:fullRef>
                </c:ext>
              </c:extLst>
              <c:f>'By year'!$B$56:$J$56</c:f>
              <c:numCache>
                <c:formatCode>General</c:formatCode>
                <c:ptCount val="9"/>
                <c:pt idx="0">
                  <c:v>0</c:v>
                </c:pt>
                <c:pt idx="1">
                  <c:v>0</c:v>
                </c:pt>
                <c:pt idx="2">
                  <c:v>0</c:v>
                </c:pt>
                <c:pt idx="3">
                  <c:v>0</c:v>
                </c:pt>
                <c:pt idx="4">
                  <c:v>0</c:v>
                </c:pt>
                <c:pt idx="5">
                  <c:v>0</c:v>
                </c:pt>
                <c:pt idx="6">
                  <c:v>0</c:v>
                </c:pt>
                <c:pt idx="7">
                  <c:v>0</c:v>
                </c:pt>
                <c:pt idx="8">
                  <c:v>2</c:v>
                </c:pt>
              </c:numCache>
            </c:numRef>
          </c:val>
          <c:extLst>
            <c:ext xmlns:c16="http://schemas.microsoft.com/office/drawing/2014/chart" uri="{C3380CC4-5D6E-409C-BE32-E72D297353CC}">
              <c16:uniqueId val="{00000008-CBB6-4177-B269-7FDA231FFC7A}"/>
            </c:ext>
          </c:extLst>
        </c:ser>
        <c:ser>
          <c:idx val="9"/>
          <c:order val="9"/>
          <c:tx>
            <c:strRef>
              <c:f>'By year'!$A$57</c:f>
              <c:strCache>
                <c:ptCount val="1"/>
                <c:pt idx="0">
                  <c:v>Greece</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strCache>
            </c:strRef>
          </c:cat>
          <c:val>
            <c:numRef>
              <c:extLst>
                <c:ext xmlns:c15="http://schemas.microsoft.com/office/drawing/2012/chart" uri="{02D57815-91ED-43cb-92C2-25804820EDAC}">
                  <c15:fullRef>
                    <c15:sqref>'By year'!$B$57:$K$57</c15:sqref>
                  </c15:fullRef>
                </c:ext>
              </c:extLst>
              <c:f>'By year'!$B$57:$J$57</c:f>
              <c:numCache>
                <c:formatCode>General</c:formatCode>
                <c:ptCount val="9"/>
                <c:pt idx="0">
                  <c:v>0</c:v>
                </c:pt>
                <c:pt idx="1">
                  <c:v>0</c:v>
                </c:pt>
                <c:pt idx="2">
                  <c:v>0</c:v>
                </c:pt>
                <c:pt idx="3">
                  <c:v>0</c:v>
                </c:pt>
                <c:pt idx="4">
                  <c:v>0</c:v>
                </c:pt>
                <c:pt idx="5">
                  <c:v>0</c:v>
                </c:pt>
                <c:pt idx="6">
                  <c:v>1</c:v>
                </c:pt>
                <c:pt idx="7">
                  <c:v>4</c:v>
                </c:pt>
                <c:pt idx="8">
                  <c:v>9</c:v>
                </c:pt>
              </c:numCache>
            </c:numRef>
          </c:val>
          <c:extLst>
            <c:ext xmlns:c16="http://schemas.microsoft.com/office/drawing/2014/chart" uri="{C3380CC4-5D6E-409C-BE32-E72D297353CC}">
              <c16:uniqueId val="{00000009-CBB6-4177-B269-7FDA231FFC7A}"/>
            </c:ext>
          </c:extLst>
        </c:ser>
        <c:ser>
          <c:idx val="10"/>
          <c:order val="10"/>
          <c:tx>
            <c:strRef>
              <c:f>'By year'!$A$58</c:f>
              <c:strCache>
                <c:ptCount val="1"/>
                <c:pt idx="0">
                  <c:v>Netherlands</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strCache>
            </c:strRef>
          </c:cat>
          <c:val>
            <c:numRef>
              <c:extLst>
                <c:ext xmlns:c15="http://schemas.microsoft.com/office/drawing/2012/chart" uri="{02D57815-91ED-43cb-92C2-25804820EDAC}">
                  <c15:fullRef>
                    <c15:sqref>'By year'!$B$58:$K$58</c15:sqref>
                  </c15:fullRef>
                </c:ext>
              </c:extLst>
              <c:f>'By year'!$B$58:$J$58</c:f>
              <c:numCache>
                <c:formatCode>General</c:formatCode>
                <c:ptCount val="9"/>
                <c:pt idx="0">
                  <c:v>0</c:v>
                </c:pt>
                <c:pt idx="1">
                  <c:v>0</c:v>
                </c:pt>
                <c:pt idx="2">
                  <c:v>0</c:v>
                </c:pt>
                <c:pt idx="3">
                  <c:v>0</c:v>
                </c:pt>
                <c:pt idx="4">
                  <c:v>0</c:v>
                </c:pt>
                <c:pt idx="5">
                  <c:v>0</c:v>
                </c:pt>
                <c:pt idx="6">
                  <c:v>0</c:v>
                </c:pt>
                <c:pt idx="7">
                  <c:v>2</c:v>
                </c:pt>
                <c:pt idx="8">
                  <c:v>5</c:v>
                </c:pt>
              </c:numCache>
            </c:numRef>
          </c:val>
          <c:extLst>
            <c:ext xmlns:c16="http://schemas.microsoft.com/office/drawing/2014/chart" uri="{C3380CC4-5D6E-409C-BE32-E72D297353CC}">
              <c16:uniqueId val="{0000000B-CBB6-4177-B269-7FDA231FFC7A}"/>
            </c:ext>
          </c:extLst>
        </c:ser>
        <c:ser>
          <c:idx val="11"/>
          <c:order val="11"/>
          <c:tx>
            <c:strRef>
              <c:f>'By year'!$A$59</c:f>
              <c:strCache>
                <c:ptCount val="1"/>
                <c:pt idx="0">
                  <c:v>Czech Republic</c:v>
                </c:pt>
              </c:strCache>
            </c:strRef>
          </c:tx>
          <c:spPr>
            <a:solidFill>
              <a:schemeClr val="accent6">
                <a:lumMod val="60000"/>
              </a:schemeClr>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strCache>
            </c:strRef>
          </c:cat>
          <c:val>
            <c:numRef>
              <c:extLst>
                <c:ext xmlns:c15="http://schemas.microsoft.com/office/drawing/2012/chart" uri="{02D57815-91ED-43cb-92C2-25804820EDAC}">
                  <c15:fullRef>
                    <c15:sqref>'By year'!$B$59:$K$59</c15:sqref>
                  </c15:fullRef>
                </c:ext>
              </c:extLst>
              <c:f>'By year'!$B$59:$J$59</c:f>
              <c:numCache>
                <c:formatCode>General</c:formatCode>
                <c:ptCount val="9"/>
                <c:pt idx="0">
                  <c:v>0</c:v>
                </c:pt>
                <c:pt idx="1">
                  <c:v>0</c:v>
                </c:pt>
                <c:pt idx="2">
                  <c:v>0</c:v>
                </c:pt>
                <c:pt idx="3">
                  <c:v>0</c:v>
                </c:pt>
                <c:pt idx="4">
                  <c:v>0</c:v>
                </c:pt>
                <c:pt idx="5">
                  <c:v>0</c:v>
                </c:pt>
                <c:pt idx="6">
                  <c:v>1</c:v>
                </c:pt>
                <c:pt idx="7">
                  <c:v>0</c:v>
                </c:pt>
                <c:pt idx="8">
                  <c:v>0</c:v>
                </c:pt>
              </c:numCache>
            </c:numRef>
          </c:val>
          <c:extLst>
            <c:ext xmlns:c16="http://schemas.microsoft.com/office/drawing/2014/chart" uri="{C3380CC4-5D6E-409C-BE32-E72D297353CC}">
              <c16:uniqueId val="{0000000C-CBB6-4177-B269-7FDA231FFC7A}"/>
            </c:ext>
          </c:extLst>
        </c:ser>
        <c:ser>
          <c:idx val="12"/>
          <c:order val="12"/>
          <c:tx>
            <c:strRef>
              <c:f>'By year'!$A$60</c:f>
              <c:strCache>
                <c:ptCount val="1"/>
                <c:pt idx="0">
                  <c:v>Slovakia</c:v>
                </c:pt>
              </c:strCache>
            </c:strRef>
          </c:tx>
          <c:spPr>
            <a:solidFill>
              <a:schemeClr val="accent1">
                <a:lumMod val="80000"/>
                <a:lumOff val="20000"/>
              </a:schemeClr>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strCache>
            </c:strRef>
          </c:cat>
          <c:val>
            <c:numRef>
              <c:extLst>
                <c:ext xmlns:c15="http://schemas.microsoft.com/office/drawing/2012/chart" uri="{02D57815-91ED-43cb-92C2-25804820EDAC}">
                  <c15:fullRef>
                    <c15:sqref>'By year'!$B$60:$K$60</c15:sqref>
                  </c15:fullRef>
                </c:ext>
              </c:extLst>
              <c:f>'By year'!$B$60:$J$60</c:f>
              <c:numCache>
                <c:formatCode>General</c:formatCode>
                <c:ptCount val="9"/>
                <c:pt idx="0">
                  <c:v>0</c:v>
                </c:pt>
                <c:pt idx="1">
                  <c:v>0</c:v>
                </c:pt>
                <c:pt idx="2">
                  <c:v>0</c:v>
                </c:pt>
                <c:pt idx="3">
                  <c:v>0</c:v>
                </c:pt>
                <c:pt idx="4">
                  <c:v>0</c:v>
                </c:pt>
                <c:pt idx="5">
                  <c:v>0</c:v>
                </c:pt>
                <c:pt idx="6">
                  <c:v>1</c:v>
                </c:pt>
                <c:pt idx="7">
                  <c:v>0</c:v>
                </c:pt>
                <c:pt idx="8">
                  <c:v>0</c:v>
                </c:pt>
              </c:numCache>
            </c:numRef>
          </c:val>
          <c:extLst>
            <c:ext xmlns:c16="http://schemas.microsoft.com/office/drawing/2014/chart" uri="{C3380CC4-5D6E-409C-BE32-E72D297353CC}">
              <c16:uniqueId val="{0000000D-CBB6-4177-B269-7FDA231FFC7A}"/>
            </c:ext>
          </c:extLst>
        </c:ser>
        <c:ser>
          <c:idx val="13"/>
          <c:order val="13"/>
          <c:tx>
            <c:strRef>
              <c:f>'By year'!$A$61</c:f>
              <c:strCache>
                <c:ptCount val="1"/>
                <c:pt idx="0">
                  <c:v>0</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pt idx="9">
                  <c:v>2021</c:v>
                </c:pt>
              </c:strCache>
            </c:strRef>
          </c:cat>
          <c:val>
            <c:numRef>
              <c:extLst>
                <c:ext xmlns:c15="http://schemas.microsoft.com/office/drawing/2012/chart" uri="{02D57815-91ED-43cb-92C2-25804820EDAC}">
                  <c15:fullRef>
                    <c15:sqref>'By year'!$B$61:$K$61</c15:sqref>
                  </c15:fullRef>
                </c:ext>
              </c:extLst>
              <c:f>'By year'!$B$61:$J$61</c:f>
            </c:numRef>
          </c:val>
          <c:extLst>
            <c:ext xmlns:c16="http://schemas.microsoft.com/office/drawing/2014/chart" uri="{C3380CC4-5D6E-409C-BE32-E72D297353CC}">
              <c16:uniqueId val="{0000000E-CBB6-4177-B269-7FDA231FFC7A}"/>
            </c:ext>
          </c:extLst>
        </c:ser>
        <c:ser>
          <c:idx val="14"/>
          <c:order val="14"/>
          <c:tx>
            <c:strRef>
              <c:f>'By year'!$A$62</c:f>
              <c:strCache>
                <c:ptCount val="1"/>
                <c:pt idx="0">
                  <c:v>0</c:v>
                </c:pt>
              </c:strCache>
            </c:strRef>
          </c:tx>
          <c:spPr>
            <a:solidFill>
              <a:schemeClr val="accent3">
                <a:lumMod val="80000"/>
                <a:lumOff val="20000"/>
              </a:schemeClr>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pt idx="9">
                  <c:v>2021</c:v>
                </c:pt>
              </c:strCache>
            </c:strRef>
          </c:cat>
          <c:val>
            <c:numRef>
              <c:extLst>
                <c:ext xmlns:c15="http://schemas.microsoft.com/office/drawing/2012/chart" uri="{02D57815-91ED-43cb-92C2-25804820EDAC}">
                  <c15:fullRef>
                    <c15:sqref>'By year'!$B$62:$K$62</c15:sqref>
                  </c15:fullRef>
                </c:ext>
              </c:extLst>
              <c:f>'By year'!$B$62:$J$62</c:f>
            </c:numRef>
          </c:val>
          <c:extLst>
            <c:ext xmlns:c16="http://schemas.microsoft.com/office/drawing/2014/chart" uri="{C3380CC4-5D6E-409C-BE32-E72D297353CC}">
              <c16:uniqueId val="{0000000F-CBB6-4177-B269-7FDA231FFC7A}"/>
            </c:ext>
          </c:extLst>
        </c:ser>
        <c:ser>
          <c:idx val="15"/>
          <c:order val="15"/>
          <c:tx>
            <c:strRef>
              <c:f>'By year'!$A$63</c:f>
              <c:strCache>
                <c:ptCount val="1"/>
                <c:pt idx="0">
                  <c:v>0</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pt idx="9">
                  <c:v>2021</c:v>
                </c:pt>
              </c:strCache>
            </c:strRef>
          </c:cat>
          <c:val>
            <c:numRef>
              <c:extLst>
                <c:ext xmlns:c15="http://schemas.microsoft.com/office/drawing/2012/chart" uri="{02D57815-91ED-43cb-92C2-25804820EDAC}">
                  <c15:fullRef>
                    <c15:sqref>'By year'!$B$63:$K$63</c15:sqref>
                  </c15:fullRef>
                </c:ext>
              </c:extLst>
              <c:f>'By year'!$B$63:$J$63</c:f>
            </c:numRef>
          </c:val>
          <c:extLst>
            <c:ext xmlns:c16="http://schemas.microsoft.com/office/drawing/2014/chart" uri="{C3380CC4-5D6E-409C-BE32-E72D297353CC}">
              <c16:uniqueId val="{00000010-CBB6-4177-B269-7FDA231FFC7A}"/>
            </c:ext>
          </c:extLst>
        </c:ser>
        <c:ser>
          <c:idx val="16"/>
          <c:order val="16"/>
          <c:tx>
            <c:strRef>
              <c:f>'By year'!$A$64</c:f>
              <c:strCache>
                <c:ptCount val="1"/>
                <c:pt idx="0">
                  <c:v>0</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pt idx="9">
                  <c:v>2021</c:v>
                </c:pt>
              </c:strCache>
            </c:strRef>
          </c:cat>
          <c:val>
            <c:numRef>
              <c:extLst>
                <c:ext xmlns:c15="http://schemas.microsoft.com/office/drawing/2012/chart" uri="{02D57815-91ED-43cb-92C2-25804820EDAC}">
                  <c15:fullRef>
                    <c15:sqref>'By year'!$B$64:$K$64</c15:sqref>
                  </c15:fullRef>
                </c:ext>
              </c:extLst>
              <c:f>'By year'!$B$64:$J$64</c:f>
            </c:numRef>
          </c:val>
          <c:extLst>
            <c:ext xmlns:c16="http://schemas.microsoft.com/office/drawing/2014/chart" uri="{C3380CC4-5D6E-409C-BE32-E72D297353CC}">
              <c16:uniqueId val="{00000011-CBB6-4177-B269-7FDA231FFC7A}"/>
            </c:ext>
          </c:extLst>
        </c:ser>
        <c:ser>
          <c:idx val="17"/>
          <c:order val="17"/>
          <c:tx>
            <c:strRef>
              <c:f>'By year'!$A$65</c:f>
              <c:strCache>
                <c:ptCount val="1"/>
                <c:pt idx="0">
                  <c:v>0</c:v>
                </c:pt>
              </c:strCache>
            </c:strRef>
          </c:tx>
          <c:spPr>
            <a:solidFill>
              <a:schemeClr val="accent6">
                <a:lumMod val="80000"/>
                <a:lumOff val="20000"/>
              </a:schemeClr>
            </a:solidFill>
            <a:ln>
              <a:noFill/>
            </a:ln>
            <a:effectLst/>
          </c:spPr>
          <c:invertIfNegative val="0"/>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pt idx="9">
                  <c:v>2021</c:v>
                </c:pt>
              </c:strCache>
            </c:strRef>
          </c:cat>
          <c:val>
            <c:numRef>
              <c:extLst>
                <c:ext xmlns:c15="http://schemas.microsoft.com/office/drawing/2012/chart" uri="{02D57815-91ED-43cb-92C2-25804820EDAC}">
                  <c15:fullRef>
                    <c15:sqref>'By year'!$B$65:$K$65</c15:sqref>
                  </c15:fullRef>
                </c:ext>
              </c:extLst>
              <c:f>'By year'!$B$65:$J$65</c:f>
            </c:numRef>
          </c:val>
          <c:extLst>
            <c:ext xmlns:c16="http://schemas.microsoft.com/office/drawing/2014/chart" uri="{C3380CC4-5D6E-409C-BE32-E72D297353CC}">
              <c16:uniqueId val="{00000012-CBB6-4177-B269-7FDA231FFC7A}"/>
            </c:ext>
          </c:extLst>
        </c:ser>
        <c:dLbls>
          <c:showLegendKey val="0"/>
          <c:showVal val="0"/>
          <c:showCatName val="0"/>
          <c:showSerName val="0"/>
          <c:showPercent val="0"/>
          <c:showBubbleSize val="0"/>
        </c:dLbls>
        <c:gapWidth val="219"/>
        <c:axId val="434845832"/>
        <c:axId val="434849768"/>
      </c:barChart>
      <c:lineChart>
        <c:grouping val="standard"/>
        <c:varyColors val="0"/>
        <c:ser>
          <c:idx val="18"/>
          <c:order val="18"/>
          <c:tx>
            <c:strRef>
              <c:f>'By year'!$A$66</c:f>
              <c:strCache>
                <c:ptCount val="1"/>
                <c:pt idx="0">
                  <c:v>All countries</c:v>
                </c:pt>
              </c:strCache>
            </c:strRef>
          </c:tx>
          <c:spPr>
            <a:ln w="28575" cap="rnd">
              <a:solidFill>
                <a:srgbClr val="00B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'By year'!$B$47:$K$47</c15:sqref>
                  </c15:fullRef>
                </c:ext>
              </c:extLst>
              <c:f>'By year'!$B$47:$J$47</c:f>
              <c:strCache>
                <c:ptCount val="9"/>
                <c:pt idx="0">
                  <c:v>2012</c:v>
                </c:pt>
                <c:pt idx="1">
                  <c:v>2013</c:v>
                </c:pt>
                <c:pt idx="2">
                  <c:v>2014</c:v>
                </c:pt>
                <c:pt idx="3">
                  <c:v>2015</c:v>
                </c:pt>
                <c:pt idx="4">
                  <c:v>2016</c:v>
                </c:pt>
                <c:pt idx="5">
                  <c:v>2017</c:v>
                </c:pt>
                <c:pt idx="6">
                  <c:v>2018</c:v>
                </c:pt>
                <c:pt idx="7">
                  <c:v>2019</c:v>
                </c:pt>
                <c:pt idx="8">
                  <c:v>2020</c:v>
                </c:pt>
              </c:strCache>
            </c:strRef>
          </c:cat>
          <c:val>
            <c:numRef>
              <c:extLst>
                <c:ext xmlns:c15="http://schemas.microsoft.com/office/drawing/2012/chart" uri="{02D57815-91ED-43cb-92C2-25804820EDAC}">
                  <c15:fullRef>
                    <c15:sqref>'By year'!$B$66:$K$66</c15:sqref>
                  </c15:fullRef>
                </c:ext>
              </c:extLst>
              <c:f>'By year'!$B$66:$J$66</c:f>
              <c:numCache>
                <c:formatCode>General</c:formatCode>
                <c:ptCount val="9"/>
                <c:pt idx="0">
                  <c:v>0</c:v>
                </c:pt>
                <c:pt idx="1">
                  <c:v>10</c:v>
                </c:pt>
                <c:pt idx="2">
                  <c:v>5</c:v>
                </c:pt>
                <c:pt idx="3">
                  <c:v>70</c:v>
                </c:pt>
                <c:pt idx="4">
                  <c:v>64</c:v>
                </c:pt>
                <c:pt idx="5">
                  <c:v>53</c:v>
                </c:pt>
                <c:pt idx="6">
                  <c:v>69</c:v>
                </c:pt>
                <c:pt idx="7">
                  <c:v>90</c:v>
                </c:pt>
                <c:pt idx="8">
                  <c:v>114</c:v>
                </c:pt>
              </c:numCache>
            </c:numRef>
          </c:val>
          <c:smooth val="1"/>
          <c:extLst>
            <c:ext xmlns:c16="http://schemas.microsoft.com/office/drawing/2014/chart" uri="{C3380CC4-5D6E-409C-BE32-E72D297353CC}">
              <c16:uniqueId val="{00000013-CBB6-4177-B269-7FDA231FFC7A}"/>
            </c:ext>
          </c:extLst>
        </c:ser>
        <c:dLbls>
          <c:showLegendKey val="0"/>
          <c:showVal val="0"/>
          <c:showCatName val="0"/>
          <c:showSerName val="0"/>
          <c:showPercent val="0"/>
          <c:showBubbleSize val="0"/>
        </c:dLbls>
        <c:marker val="1"/>
        <c:smooth val="0"/>
        <c:axId val="434845832"/>
        <c:axId val="434849768"/>
      </c:lineChart>
      <c:catAx>
        <c:axId val="434845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49768"/>
        <c:crosses val="autoZero"/>
        <c:auto val="1"/>
        <c:lblAlgn val="ctr"/>
        <c:lblOffset val="100"/>
        <c:noMultiLvlLbl val="0"/>
      </c:catAx>
      <c:valAx>
        <c:axId val="434849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45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5771095518912618"/>
          <c:y val="0.15850740301034533"/>
          <c:w val="0.48233944084899433"/>
          <c:h val="0.61121446895672116"/>
        </c:manualLayout>
      </c:layout>
      <c:doughnutChart>
        <c:varyColors val="1"/>
        <c:ser>
          <c:idx val="0"/>
          <c:order val="0"/>
          <c:tx>
            <c:strRef>
              <c:f>'By therapy area'!$R$4</c:f>
              <c:strCache>
                <c:ptCount val="1"/>
                <c:pt idx="0">
                  <c:v>Percentage</c:v>
                </c:pt>
              </c:strCache>
            </c:strRef>
          </c:tx>
          <c:spPr>
            <a:ln w="76200">
              <a:solidFill>
                <a:sysClr val="window" lastClr="FFFFFF"/>
              </a:solidFill>
            </a:ln>
          </c:spPr>
          <c:dLbls>
            <c:dLbl>
              <c:idx val="0"/>
              <c:layout>
                <c:manualLayout>
                  <c:x val="3.694317193678099E-2"/>
                  <c:y val="4.4569932737236612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196-450A-9676-DE7B995E9C1F}"/>
                </c:ext>
              </c:extLst>
            </c:dLbl>
            <c:dLbl>
              <c:idx val="1"/>
              <c:layout>
                <c:manualLayout>
                  <c:x val="2.1238845144356956E-2"/>
                  <c:y val="0.10913657428315081"/>
                </c:manualLayout>
              </c:layout>
              <c:numFmt formatCode="0%" sourceLinked="0"/>
              <c:spPr>
                <a:solidFill>
                  <a:srgbClr val="FFFFFF"/>
                </a:solidFill>
                <a:ln>
                  <a:solidFill>
                    <a:srgbClr val="2B3A42">
                      <a:lumMod val="65000"/>
                      <a:lumOff val="35000"/>
                    </a:srgbClr>
                  </a:solidFill>
                </a:ln>
                <a:effectLst/>
              </c:spPr>
              <c:txPr>
                <a:bodyPr rot="0" vert="horz" lIns="38100" tIns="19050" rIns="38100" bIns="19050" anchorCtr="0">
                  <a:noAutofit/>
                </a:bodyPr>
                <a:lstStyle/>
                <a:p>
                  <a:pPr algn="ctr">
                    <a:defRPr lang="en-US" sz="1200" b="0" i="0" u="none" strike="noStrike" kern="1200" baseline="0">
                      <a:ln>
                        <a:noFill/>
                      </a:ln>
                      <a:solidFill>
                        <a:srgbClr val="606B71"/>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2579231357835757"/>
                      <c:h val="9.9749170234867873E-2"/>
                    </c:manualLayout>
                  </c15:layout>
                </c:ext>
                <c:ext xmlns:c16="http://schemas.microsoft.com/office/drawing/2014/chart" uri="{C3380CC4-5D6E-409C-BE32-E72D297353CC}">
                  <c16:uniqueId val="{00000003-4196-450A-9676-DE7B995E9C1F}"/>
                </c:ext>
              </c:extLst>
            </c:dLbl>
            <c:dLbl>
              <c:idx val="2"/>
              <c:layout>
                <c:manualLayout>
                  <c:x val="-6.3376331877010667E-2"/>
                  <c:y val="7.2186713739394281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196-450A-9676-DE7B995E9C1F}"/>
                </c:ext>
              </c:extLst>
            </c:dLbl>
            <c:dLbl>
              <c:idx val="3"/>
              <c:layout>
                <c:manualLayout>
                  <c:x val="-5.2647462954278051E-2"/>
                  <c:y val="3.6628224411892209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196-450A-9676-DE7B995E9C1F}"/>
                </c:ext>
              </c:extLst>
            </c:dLbl>
            <c:dLbl>
              <c:idx val="4"/>
              <c:layout>
                <c:manualLayout>
                  <c:x val="-7.0063897185265692E-2"/>
                  <c:y val="8.6497490832015498E-3"/>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4196-450A-9676-DE7B995E9C1F}"/>
                </c:ext>
              </c:extLst>
            </c:dLbl>
            <c:dLbl>
              <c:idx val="5"/>
              <c:layout>
                <c:manualLayout>
                  <c:x val="-5.6362089535046365E-2"/>
                  <c:y val="-1.9223125927991847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4196-450A-9676-DE7B995E9C1F}"/>
                </c:ext>
              </c:extLst>
            </c:dLbl>
            <c:dLbl>
              <c:idx val="6"/>
              <c:layout>
                <c:manualLayout>
                  <c:x val="-8.5714379746418809E-2"/>
                  <c:y val="-9.1735924164273092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4196-450A-9676-DE7B995E9C1F}"/>
                </c:ext>
              </c:extLst>
            </c:dLbl>
            <c:dLbl>
              <c:idx val="7"/>
              <c:layout>
                <c:manualLayout>
                  <c:x val="-2.4596154320835287E-2"/>
                  <c:y val="-9.7608152808688023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4196-450A-9676-DE7B995E9C1F}"/>
                </c:ext>
              </c:extLst>
            </c:dLbl>
            <c:numFmt formatCode="0%" sourceLinked="0"/>
            <c:spPr>
              <a:solidFill>
                <a:srgbClr val="FFFFFF"/>
              </a:solidFill>
              <a:ln>
                <a:solidFill>
                  <a:srgbClr val="2B3A42">
                    <a:lumMod val="65000"/>
                    <a:lumOff val="35000"/>
                  </a:srgbClr>
                </a:solidFill>
              </a:ln>
              <a:effectLst/>
            </c:spPr>
            <c:txPr>
              <a:bodyPr rot="0" vert="horz" lIns="38100" tIns="19050" rIns="38100" bIns="19050" anchorCtr="0">
                <a:spAutoFit/>
              </a:bodyPr>
              <a:lstStyle/>
              <a:p>
                <a:pPr algn="ctr">
                  <a:defRPr lang="en-US" sz="1200" b="0" i="0" u="none" strike="noStrike" kern="1200" baseline="0">
                    <a:ln>
                      <a:noFill/>
                    </a:ln>
                    <a:solidFill>
                      <a:srgbClr val="606B71"/>
                    </a:solidFill>
                    <a:latin typeface="+mn-lt"/>
                    <a:ea typeface="+mn-ea"/>
                    <a:cs typeface="+mn-cs"/>
                  </a:defRPr>
                </a:pPr>
                <a:endParaRPr lang="en-US"/>
              </a:p>
            </c:txPr>
            <c:showLegendKey val="1"/>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c15:spPr>
              </c:ext>
            </c:extLst>
          </c:dLbls>
          <c:cat>
            <c:strRef>
              <c:extLst>
                <c:ext xmlns:c15="http://schemas.microsoft.com/office/drawing/2012/chart" uri="{02D57815-91ED-43cb-92C2-25804820EDAC}">
                  <c15:fullRef>
                    <c15:sqref>'By therapy area'!$A$5:$A$18</c15:sqref>
                  </c15:fullRef>
                </c:ext>
              </c:extLst>
              <c:f>('By therapy area'!$A$5:$A$6,'By therapy area'!$A$8:$A$13)</c:f>
              <c:strCache>
                <c:ptCount val="8"/>
                <c:pt idx="0">
                  <c:v>Oncology</c:v>
                </c:pt>
                <c:pt idx="1">
                  <c:v>Blood and immune system</c:v>
                </c:pt>
                <c:pt idx="2">
                  <c:v>Cardiovascular diseases</c:v>
                </c:pt>
                <c:pt idx="3">
                  <c:v>Respiratory</c:v>
                </c:pt>
                <c:pt idx="4">
                  <c:v>Muscoloskeletal</c:v>
                </c:pt>
                <c:pt idx="5">
                  <c:v>Other/None</c:v>
                </c:pt>
                <c:pt idx="6">
                  <c:v>Metabolic/Endocrine Disorders</c:v>
                </c:pt>
                <c:pt idx="7">
                  <c:v>Dermatology</c:v>
                </c:pt>
              </c:strCache>
            </c:strRef>
          </c:cat>
          <c:val>
            <c:numRef>
              <c:extLst>
                <c:ext xmlns:c15="http://schemas.microsoft.com/office/drawing/2012/chart" uri="{02D57815-91ED-43cb-92C2-25804820EDAC}">
                  <c15:fullRef>
                    <c15:sqref>'By therapy area'!$R$5:$R$18</c15:sqref>
                  </c15:fullRef>
                </c:ext>
              </c:extLst>
              <c:f>('By therapy area'!$R$5:$R$6,'By therapy area'!$R$8:$R$13)</c:f>
              <c:numCache>
                <c:formatCode>0.00%</c:formatCode>
                <c:ptCount val="8"/>
                <c:pt idx="0">
                  <c:v>0.31693989071038253</c:v>
                </c:pt>
                <c:pt idx="1">
                  <c:v>2.9143897996357013E-2</c:v>
                </c:pt>
                <c:pt idx="2">
                  <c:v>7.1038251366120214E-2</c:v>
                </c:pt>
                <c:pt idx="3">
                  <c:v>4.3715846994535519E-2</c:v>
                </c:pt>
                <c:pt idx="4">
                  <c:v>3.2786885245901641E-2</c:v>
                </c:pt>
                <c:pt idx="5">
                  <c:v>4.7358834244080147E-2</c:v>
                </c:pt>
                <c:pt idx="6">
                  <c:v>0.10018214936247723</c:v>
                </c:pt>
                <c:pt idx="7">
                  <c:v>4.0072859744990891E-2</c:v>
                </c:pt>
              </c:numCache>
            </c:numRef>
          </c:val>
          <c:extLst>
            <c:ext xmlns:c15="http://schemas.microsoft.com/office/drawing/2012/chart" uri="{02D57815-91ED-43cb-92C2-25804820EDAC}">
              <c15:categoryFilterExceptions>
                <c15:categoryFilterException>
                  <c15:sqref>'By therapy area'!$R$7</c15:sqref>
                  <c15:dLbl>
                    <c:idx val="1"/>
                    <c:layout>
                      <c:manualLayout>
                        <c:x val="-2.9579061822389154E-2"/>
                        <c:y val="0.12109637855082109"/>
                      </c:manualLayout>
                    </c:layout>
                    <c:showLegendKey val="1"/>
                    <c:showVal val="0"/>
                    <c:showCatName val="1"/>
                    <c:showSerName val="0"/>
                    <c:showPercent val="1"/>
                    <c:showBubbleSize val="0"/>
                    <c:extLst>
                      <c:ext uri="{CE6537A1-D6FC-4f65-9D91-7224C49458BB}"/>
                      <c:ext xmlns:c16="http://schemas.microsoft.com/office/drawing/2014/chart" uri="{C3380CC4-5D6E-409C-BE32-E72D297353CC}">
                        <c16:uniqueId val="{00000000-9C7A-4778-9022-536D175A05A5}"/>
                      </c:ext>
                    </c:extLst>
                  </c15:dLbl>
                </c15:categoryFilterException>
                <c15:categoryFilterException>
                  <c15:sqref>'By therapy area'!$R$14</c15:sqref>
                  <c15:dLbl>
                    <c:idx val="7"/>
                    <c:layout>
                      <c:manualLayout>
                        <c:x val="-0.13196812197681299"/>
                        <c:y val="-8.6497413250586404E-3"/>
                      </c:manualLayout>
                    </c:layout>
                    <c:showLegendKey val="1"/>
                    <c:showVal val="0"/>
                    <c:showCatName val="1"/>
                    <c:showSerName val="0"/>
                    <c:showPercent val="1"/>
                    <c:showBubbleSize val="0"/>
                    <c:extLst>
                      <c:ext uri="{CE6537A1-D6FC-4f65-9D91-7224C49458BB}"/>
                      <c:ext xmlns:c16="http://schemas.microsoft.com/office/drawing/2014/chart" uri="{C3380CC4-5D6E-409C-BE32-E72D297353CC}">
                        <c16:uniqueId val="{00000001-9C7A-4778-9022-536D175A05A5}"/>
                      </c:ext>
                    </c:extLst>
                  </c15:dLbl>
                </c15:categoryFilterException>
                <c15:categoryFilterException>
                  <c15:sqref>'By therapy area'!$R$15</c15:sqref>
                  <c15:dLbl>
                    <c:idx val="7"/>
                    <c:layout>
                      <c:manualLayout>
                        <c:x val="-0.12969280952893689"/>
                        <c:y val="-5.1898447950351874E-2"/>
                      </c:manualLayout>
                    </c:layout>
                    <c:showLegendKey val="1"/>
                    <c:showVal val="0"/>
                    <c:showCatName val="1"/>
                    <c:showSerName val="0"/>
                    <c:showPercent val="1"/>
                    <c:showBubbleSize val="0"/>
                    <c:extLst>
                      <c:ext uri="{CE6537A1-D6FC-4f65-9D91-7224C49458BB}"/>
                      <c:ext xmlns:c16="http://schemas.microsoft.com/office/drawing/2014/chart" uri="{C3380CC4-5D6E-409C-BE32-E72D297353CC}">
                        <c16:uniqueId val="{00000002-9C7A-4778-9022-536D175A05A5}"/>
                      </c:ext>
                    </c:extLst>
                  </c15:dLbl>
                </c15:categoryFilterException>
              </c15:categoryFilterExceptions>
            </c:ext>
            <c:ext xmlns:c16="http://schemas.microsoft.com/office/drawing/2014/chart" uri="{C3380CC4-5D6E-409C-BE32-E72D297353CC}">
              <c16:uniqueId val="{0000000A-4196-450A-9676-DE7B995E9C1F}"/>
            </c:ext>
          </c:extLst>
        </c:ser>
        <c:dLbls>
          <c:showLegendKey val="0"/>
          <c:showVal val="0"/>
          <c:showCatName val="0"/>
          <c:showSerName val="0"/>
          <c:showPercent val="1"/>
          <c:showBubbleSize val="0"/>
          <c:showLeaderLines val="0"/>
        </c:dLbls>
        <c:firstSliceAng val="0"/>
        <c:holeSize val="8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'By therapy area'!$A$74</c:f>
              <c:strCache>
                <c:ptCount val="1"/>
                <c:pt idx="0">
                  <c:v>Oncology</c:v>
                </c:pt>
              </c:strCache>
            </c:strRef>
          </c:tx>
          <c:spPr>
            <a:ln w="25400" cap="rnd">
              <a:solidFill>
                <a:schemeClr val="accent1"/>
              </a:solidFill>
              <a:round/>
            </a:ln>
            <a:effectLst/>
          </c:spPr>
          <c:marker>
            <c:symbol val="circle"/>
            <c:size val="5"/>
            <c:spPr>
              <a:solidFill>
                <a:schemeClr val="accent1"/>
              </a:solidFill>
              <a:ln w="9525">
                <a:solidFill>
                  <a:schemeClr val="accent1"/>
                </a:solid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area'!$B$74:$K$74</c:f>
              <c:numCache>
                <c:formatCode>General</c:formatCode>
                <c:ptCount val="10"/>
                <c:pt idx="0">
                  <c:v>0</c:v>
                </c:pt>
                <c:pt idx="1">
                  <c:v>3</c:v>
                </c:pt>
                <c:pt idx="2">
                  <c:v>3</c:v>
                </c:pt>
                <c:pt idx="3">
                  <c:v>8</c:v>
                </c:pt>
                <c:pt idx="4">
                  <c:v>6</c:v>
                </c:pt>
                <c:pt idx="5">
                  <c:v>5</c:v>
                </c:pt>
                <c:pt idx="6">
                  <c:v>17</c:v>
                </c:pt>
                <c:pt idx="7">
                  <c:v>22</c:v>
                </c:pt>
                <c:pt idx="8">
                  <c:v>26</c:v>
                </c:pt>
                <c:pt idx="9">
                  <c:v>28</c:v>
                </c:pt>
              </c:numCache>
            </c:numRef>
          </c:val>
          <c:smooth val="0"/>
          <c:extLst>
            <c:ext xmlns:c16="http://schemas.microsoft.com/office/drawing/2014/chart" uri="{C3380CC4-5D6E-409C-BE32-E72D297353CC}">
              <c16:uniqueId val="{00000000-3DB1-4F52-9D83-2791949B41DB}"/>
            </c:ext>
          </c:extLst>
        </c:ser>
        <c:ser>
          <c:idx val="1"/>
          <c:order val="1"/>
          <c:tx>
            <c:strRef>
              <c:f>'By therapy area'!$A$75</c:f>
              <c:strCache>
                <c:ptCount val="1"/>
                <c:pt idx="0">
                  <c:v>Blood and immune system</c:v>
                </c:pt>
              </c:strCache>
            </c:strRef>
          </c:tx>
          <c:spPr>
            <a:ln w="19050" cap="rnd">
              <a:noFill/>
              <a:round/>
            </a:ln>
            <a:effectLst/>
          </c:spPr>
          <c:marker>
            <c:symbol val="circle"/>
            <c:size val="5"/>
            <c:spPr>
              <a:solidFill>
                <a:schemeClr val="accent2"/>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area'!$B$75:$K$75</c:f>
              <c:numCache>
                <c:formatCode>General</c:formatCode>
                <c:ptCount val="10"/>
                <c:pt idx="0">
                  <c:v>0</c:v>
                </c:pt>
                <c:pt idx="1">
                  <c:v>0</c:v>
                </c:pt>
                <c:pt idx="2">
                  <c:v>0</c:v>
                </c:pt>
                <c:pt idx="3">
                  <c:v>0</c:v>
                </c:pt>
                <c:pt idx="4">
                  <c:v>0</c:v>
                </c:pt>
                <c:pt idx="5">
                  <c:v>1</c:v>
                </c:pt>
                <c:pt idx="6">
                  <c:v>3</c:v>
                </c:pt>
                <c:pt idx="7">
                  <c:v>0</c:v>
                </c:pt>
                <c:pt idx="8">
                  <c:v>2</c:v>
                </c:pt>
                <c:pt idx="9">
                  <c:v>6</c:v>
                </c:pt>
              </c:numCache>
            </c:numRef>
          </c:val>
          <c:smooth val="0"/>
          <c:extLst>
            <c:ext xmlns:c16="http://schemas.microsoft.com/office/drawing/2014/chart" uri="{C3380CC4-5D6E-409C-BE32-E72D297353CC}">
              <c16:uniqueId val="{00000001-3DB1-4F52-9D83-2791949B41DB}"/>
            </c:ext>
          </c:extLst>
        </c:ser>
        <c:ser>
          <c:idx val="2"/>
          <c:order val="2"/>
          <c:tx>
            <c:strRef>
              <c:f>'By therapy area'!$A$76</c:f>
              <c:strCache>
                <c:ptCount val="1"/>
                <c:pt idx="0">
                  <c:v>Gastroenterology</c:v>
                </c:pt>
              </c:strCache>
            </c:strRef>
          </c:tx>
          <c:spPr>
            <a:ln w="19050" cap="rnd">
              <a:noFill/>
              <a:round/>
            </a:ln>
            <a:effectLst/>
          </c:spPr>
          <c:marker>
            <c:symbol val="circle"/>
            <c:size val="5"/>
            <c:spPr>
              <a:solidFill>
                <a:schemeClr val="accent3"/>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area'!$B$76:$K$76</c:f>
              <c:numCache>
                <c:formatCode>General</c:formatCode>
                <c:ptCount val="10"/>
                <c:pt idx="0">
                  <c:v>0</c:v>
                </c:pt>
                <c:pt idx="1">
                  <c:v>0</c:v>
                </c:pt>
                <c:pt idx="2">
                  <c:v>0</c:v>
                </c:pt>
                <c:pt idx="3">
                  <c:v>0</c:v>
                </c:pt>
                <c:pt idx="4">
                  <c:v>0</c:v>
                </c:pt>
                <c:pt idx="5">
                  <c:v>0</c:v>
                </c:pt>
                <c:pt idx="6">
                  <c:v>0</c:v>
                </c:pt>
                <c:pt idx="7">
                  <c:v>0</c:v>
                </c:pt>
                <c:pt idx="8">
                  <c:v>0</c:v>
                </c:pt>
                <c:pt idx="9">
                  <c:v>2</c:v>
                </c:pt>
              </c:numCache>
            </c:numRef>
          </c:val>
          <c:smooth val="0"/>
          <c:extLst>
            <c:ext xmlns:c16="http://schemas.microsoft.com/office/drawing/2014/chart" uri="{C3380CC4-5D6E-409C-BE32-E72D297353CC}">
              <c16:uniqueId val="{00000002-3DB1-4F52-9D83-2791949B41DB}"/>
            </c:ext>
          </c:extLst>
        </c:ser>
        <c:ser>
          <c:idx val="3"/>
          <c:order val="3"/>
          <c:tx>
            <c:strRef>
              <c:f>'By therapy area'!$A$77</c:f>
              <c:strCache>
                <c:ptCount val="1"/>
                <c:pt idx="0">
                  <c:v>Cardiovascular diseases</c:v>
                </c:pt>
              </c:strCache>
            </c:strRef>
          </c:tx>
          <c:spPr>
            <a:ln w="19050" cap="rnd">
              <a:noFill/>
              <a:round/>
            </a:ln>
            <a:effectLst/>
          </c:spPr>
          <c:marker>
            <c:symbol val="circle"/>
            <c:size val="5"/>
            <c:spPr>
              <a:solidFill>
                <a:schemeClr val="accent4"/>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area'!$B$77:$K$77</c:f>
              <c:numCache>
                <c:formatCode>General</c:formatCode>
                <c:ptCount val="10"/>
                <c:pt idx="0">
                  <c:v>2</c:v>
                </c:pt>
                <c:pt idx="1">
                  <c:v>3</c:v>
                </c:pt>
                <c:pt idx="2">
                  <c:v>0</c:v>
                </c:pt>
                <c:pt idx="3">
                  <c:v>1</c:v>
                </c:pt>
                <c:pt idx="4">
                  <c:v>0</c:v>
                </c:pt>
                <c:pt idx="5">
                  <c:v>0</c:v>
                </c:pt>
                <c:pt idx="6">
                  <c:v>0</c:v>
                </c:pt>
                <c:pt idx="7">
                  <c:v>4</c:v>
                </c:pt>
                <c:pt idx="8">
                  <c:v>4</c:v>
                </c:pt>
                <c:pt idx="9">
                  <c:v>1</c:v>
                </c:pt>
              </c:numCache>
            </c:numRef>
          </c:val>
          <c:smooth val="0"/>
          <c:extLst>
            <c:ext xmlns:c16="http://schemas.microsoft.com/office/drawing/2014/chart" uri="{C3380CC4-5D6E-409C-BE32-E72D297353CC}">
              <c16:uniqueId val="{00000003-3DB1-4F52-9D83-2791949B41DB}"/>
            </c:ext>
          </c:extLst>
        </c:ser>
        <c:ser>
          <c:idx val="4"/>
          <c:order val="4"/>
          <c:tx>
            <c:strRef>
              <c:f>'By therapy area'!$A$78</c:f>
              <c:strCache>
                <c:ptCount val="1"/>
                <c:pt idx="0">
                  <c:v>Respiratory</c:v>
                </c:pt>
              </c:strCache>
            </c:strRef>
          </c:tx>
          <c:spPr>
            <a:ln w="19050" cap="rnd">
              <a:noFill/>
              <a:round/>
            </a:ln>
            <a:effectLst/>
          </c:spPr>
          <c:marker>
            <c:symbol val="circle"/>
            <c:size val="5"/>
            <c:spPr>
              <a:solidFill>
                <a:schemeClr val="accent5"/>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area'!$B$78:$K$78</c:f>
              <c:numCache>
                <c:formatCode>General</c:formatCode>
                <c:ptCount val="10"/>
                <c:pt idx="0">
                  <c:v>0</c:v>
                </c:pt>
                <c:pt idx="1">
                  <c:v>0</c:v>
                </c:pt>
                <c:pt idx="2">
                  <c:v>0</c:v>
                </c:pt>
                <c:pt idx="3">
                  <c:v>0</c:v>
                </c:pt>
                <c:pt idx="4">
                  <c:v>0</c:v>
                </c:pt>
                <c:pt idx="5">
                  <c:v>1</c:v>
                </c:pt>
                <c:pt idx="6">
                  <c:v>1</c:v>
                </c:pt>
                <c:pt idx="7">
                  <c:v>2</c:v>
                </c:pt>
                <c:pt idx="8">
                  <c:v>5</c:v>
                </c:pt>
                <c:pt idx="9">
                  <c:v>1</c:v>
                </c:pt>
              </c:numCache>
            </c:numRef>
          </c:val>
          <c:smooth val="0"/>
          <c:extLst>
            <c:ext xmlns:c16="http://schemas.microsoft.com/office/drawing/2014/chart" uri="{C3380CC4-5D6E-409C-BE32-E72D297353CC}">
              <c16:uniqueId val="{00000004-3DB1-4F52-9D83-2791949B41DB}"/>
            </c:ext>
          </c:extLst>
        </c:ser>
        <c:ser>
          <c:idx val="5"/>
          <c:order val="5"/>
          <c:tx>
            <c:strRef>
              <c:f>'By therapy area'!$A$79</c:f>
              <c:strCache>
                <c:ptCount val="1"/>
                <c:pt idx="0">
                  <c:v>Muscoloskeletal</c:v>
                </c:pt>
              </c:strCache>
            </c:strRef>
          </c:tx>
          <c:spPr>
            <a:ln w="19050" cap="rnd">
              <a:noFill/>
              <a:round/>
            </a:ln>
            <a:effectLst/>
          </c:spPr>
          <c:marker>
            <c:symbol val="circle"/>
            <c:size val="5"/>
            <c:spPr>
              <a:solidFill>
                <a:schemeClr val="accent6"/>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area'!$B$79:$K$79</c:f>
              <c:numCache>
                <c:formatCode>General</c:formatCode>
                <c:ptCount val="10"/>
                <c:pt idx="0">
                  <c:v>0</c:v>
                </c:pt>
                <c:pt idx="1">
                  <c:v>0</c:v>
                </c:pt>
                <c:pt idx="2">
                  <c:v>0</c:v>
                </c:pt>
                <c:pt idx="3">
                  <c:v>1</c:v>
                </c:pt>
                <c:pt idx="4">
                  <c:v>1</c:v>
                </c:pt>
                <c:pt idx="5">
                  <c:v>3</c:v>
                </c:pt>
                <c:pt idx="6">
                  <c:v>1</c:v>
                </c:pt>
                <c:pt idx="7">
                  <c:v>3</c:v>
                </c:pt>
                <c:pt idx="8">
                  <c:v>4</c:v>
                </c:pt>
                <c:pt idx="9">
                  <c:v>2</c:v>
                </c:pt>
              </c:numCache>
            </c:numRef>
          </c:val>
          <c:smooth val="0"/>
          <c:extLst>
            <c:ext xmlns:c16="http://schemas.microsoft.com/office/drawing/2014/chart" uri="{C3380CC4-5D6E-409C-BE32-E72D297353CC}">
              <c16:uniqueId val="{00000005-3DB1-4F52-9D83-2791949B41DB}"/>
            </c:ext>
          </c:extLst>
        </c:ser>
        <c:ser>
          <c:idx val="6"/>
          <c:order val="6"/>
          <c:tx>
            <c:strRef>
              <c:f>'By therapy area'!$A$80</c:f>
              <c:strCache>
                <c:ptCount val="1"/>
                <c:pt idx="0">
                  <c:v>Other/None</c:v>
                </c:pt>
              </c:strCache>
            </c:strRef>
          </c:tx>
          <c:spPr>
            <a:ln w="19050" cap="rnd">
              <a:noFill/>
              <a:round/>
            </a:ln>
            <a:effectLst/>
          </c:spPr>
          <c:marker>
            <c:symbol val="circle"/>
            <c:size val="5"/>
            <c:spPr>
              <a:solidFill>
                <a:schemeClr val="accent1">
                  <a:lumMod val="6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area'!$B$80:$K$80</c:f>
              <c:numCache>
                <c:formatCode>General</c:formatCode>
                <c:ptCount val="10"/>
                <c:pt idx="0">
                  <c:v>0</c:v>
                </c:pt>
                <c:pt idx="1">
                  <c:v>0</c:v>
                </c:pt>
                <c:pt idx="2">
                  <c:v>0</c:v>
                </c:pt>
                <c:pt idx="3">
                  <c:v>0</c:v>
                </c:pt>
                <c:pt idx="4">
                  <c:v>0</c:v>
                </c:pt>
                <c:pt idx="5">
                  <c:v>1</c:v>
                </c:pt>
                <c:pt idx="6">
                  <c:v>1</c:v>
                </c:pt>
                <c:pt idx="7">
                  <c:v>0</c:v>
                </c:pt>
                <c:pt idx="8">
                  <c:v>3</c:v>
                </c:pt>
                <c:pt idx="9">
                  <c:v>0</c:v>
                </c:pt>
              </c:numCache>
            </c:numRef>
          </c:val>
          <c:smooth val="0"/>
          <c:extLst>
            <c:ext xmlns:c16="http://schemas.microsoft.com/office/drawing/2014/chart" uri="{C3380CC4-5D6E-409C-BE32-E72D297353CC}">
              <c16:uniqueId val="{00000006-3DB1-4F52-9D83-2791949B41DB}"/>
            </c:ext>
          </c:extLst>
        </c:ser>
        <c:ser>
          <c:idx val="7"/>
          <c:order val="7"/>
          <c:tx>
            <c:strRef>
              <c:f>'By therapy area'!$A$81</c:f>
              <c:strCache>
                <c:ptCount val="1"/>
                <c:pt idx="0">
                  <c:v>Metabolic/Endocrine Disorders</c:v>
                </c:pt>
              </c:strCache>
            </c:strRef>
          </c:tx>
          <c:spPr>
            <a:ln w="19050" cap="rnd">
              <a:noFill/>
              <a:round/>
            </a:ln>
            <a:effectLst/>
          </c:spPr>
          <c:marker>
            <c:symbol val="circle"/>
            <c:size val="5"/>
            <c:spPr>
              <a:solidFill>
                <a:schemeClr val="accent2">
                  <a:lumMod val="6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area'!$B$81:$K$81</c:f>
              <c:numCache>
                <c:formatCode>General</c:formatCode>
                <c:ptCount val="10"/>
                <c:pt idx="0">
                  <c:v>3</c:v>
                </c:pt>
                <c:pt idx="1">
                  <c:v>1</c:v>
                </c:pt>
                <c:pt idx="2">
                  <c:v>0</c:v>
                </c:pt>
                <c:pt idx="3">
                  <c:v>8</c:v>
                </c:pt>
                <c:pt idx="4">
                  <c:v>9</c:v>
                </c:pt>
                <c:pt idx="5">
                  <c:v>6</c:v>
                </c:pt>
                <c:pt idx="6">
                  <c:v>4</c:v>
                </c:pt>
                <c:pt idx="7">
                  <c:v>7</c:v>
                </c:pt>
                <c:pt idx="8">
                  <c:v>3</c:v>
                </c:pt>
                <c:pt idx="9">
                  <c:v>1</c:v>
                </c:pt>
              </c:numCache>
            </c:numRef>
          </c:val>
          <c:smooth val="0"/>
          <c:extLst>
            <c:ext xmlns:c16="http://schemas.microsoft.com/office/drawing/2014/chart" uri="{C3380CC4-5D6E-409C-BE32-E72D297353CC}">
              <c16:uniqueId val="{00000007-3DB1-4F52-9D83-2791949B41DB}"/>
            </c:ext>
          </c:extLst>
        </c:ser>
        <c:ser>
          <c:idx val="8"/>
          <c:order val="8"/>
          <c:tx>
            <c:strRef>
              <c:f>'By therapy area'!$A$82</c:f>
              <c:strCache>
                <c:ptCount val="1"/>
                <c:pt idx="0">
                  <c:v>Dermatology</c:v>
                </c:pt>
              </c:strCache>
            </c:strRef>
          </c:tx>
          <c:spPr>
            <a:ln w="19050" cap="rnd">
              <a:noFill/>
              <a:round/>
            </a:ln>
            <a:effectLst/>
          </c:spPr>
          <c:marker>
            <c:symbol val="circle"/>
            <c:size val="5"/>
            <c:spPr>
              <a:solidFill>
                <a:schemeClr val="accent3">
                  <a:lumMod val="6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area'!$B$82:$K$82</c:f>
              <c:numCache>
                <c:formatCode>General</c:formatCode>
                <c:ptCount val="10"/>
                <c:pt idx="0">
                  <c:v>0</c:v>
                </c:pt>
                <c:pt idx="1">
                  <c:v>0</c:v>
                </c:pt>
                <c:pt idx="2">
                  <c:v>0</c:v>
                </c:pt>
                <c:pt idx="3">
                  <c:v>3</c:v>
                </c:pt>
                <c:pt idx="4">
                  <c:v>2</c:v>
                </c:pt>
                <c:pt idx="5">
                  <c:v>2</c:v>
                </c:pt>
                <c:pt idx="6">
                  <c:v>3</c:v>
                </c:pt>
                <c:pt idx="7">
                  <c:v>2</c:v>
                </c:pt>
                <c:pt idx="8">
                  <c:v>2</c:v>
                </c:pt>
                <c:pt idx="9">
                  <c:v>0</c:v>
                </c:pt>
              </c:numCache>
            </c:numRef>
          </c:val>
          <c:smooth val="0"/>
          <c:extLst>
            <c:ext xmlns:c16="http://schemas.microsoft.com/office/drawing/2014/chart" uri="{C3380CC4-5D6E-409C-BE32-E72D297353CC}">
              <c16:uniqueId val="{00000008-3DB1-4F52-9D83-2791949B41DB}"/>
            </c:ext>
          </c:extLst>
        </c:ser>
        <c:ser>
          <c:idx val="9"/>
          <c:order val="9"/>
          <c:tx>
            <c:strRef>
              <c:f>'By therapy area'!$A$83</c:f>
              <c:strCache>
                <c:ptCount val="1"/>
                <c:pt idx="0">
                  <c:v>Infectious diseases</c:v>
                </c:pt>
              </c:strCache>
            </c:strRef>
          </c:tx>
          <c:spPr>
            <a:ln w="19050" cap="rnd">
              <a:noFill/>
              <a:round/>
            </a:ln>
            <a:effectLst/>
          </c:spPr>
          <c:marker>
            <c:symbol val="circle"/>
            <c:size val="5"/>
            <c:spPr>
              <a:solidFill>
                <a:schemeClr val="accent4">
                  <a:lumMod val="6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area'!$B$83:$K$83</c:f>
              <c:numCache>
                <c:formatCode>General</c:formatCode>
                <c:ptCount val="10"/>
                <c:pt idx="0">
                  <c:v>1</c:v>
                </c:pt>
                <c:pt idx="1">
                  <c:v>0</c:v>
                </c:pt>
                <c:pt idx="2">
                  <c:v>0</c:v>
                </c:pt>
                <c:pt idx="3">
                  <c:v>4</c:v>
                </c:pt>
                <c:pt idx="4">
                  <c:v>0</c:v>
                </c:pt>
                <c:pt idx="5">
                  <c:v>3</c:v>
                </c:pt>
                <c:pt idx="6">
                  <c:v>2</c:v>
                </c:pt>
                <c:pt idx="7">
                  <c:v>3</c:v>
                </c:pt>
                <c:pt idx="8">
                  <c:v>4</c:v>
                </c:pt>
                <c:pt idx="9">
                  <c:v>4</c:v>
                </c:pt>
              </c:numCache>
            </c:numRef>
          </c:val>
          <c:smooth val="0"/>
          <c:extLst>
            <c:ext xmlns:c16="http://schemas.microsoft.com/office/drawing/2014/chart" uri="{C3380CC4-5D6E-409C-BE32-E72D297353CC}">
              <c16:uniqueId val="{00000009-3DB1-4F52-9D83-2791949B41DB}"/>
            </c:ext>
          </c:extLst>
        </c:ser>
        <c:ser>
          <c:idx val="10"/>
          <c:order val="10"/>
          <c:tx>
            <c:strRef>
              <c:f>'By therapy area'!$A$84</c:f>
              <c:strCache>
                <c:ptCount val="1"/>
                <c:pt idx="0">
                  <c:v>Ophthalmology</c:v>
                </c:pt>
              </c:strCache>
            </c:strRef>
          </c:tx>
          <c:spPr>
            <a:ln w="19050" cap="rnd">
              <a:noFill/>
              <a:round/>
            </a:ln>
            <a:effectLst/>
          </c:spPr>
          <c:marker>
            <c:symbol val="circle"/>
            <c:size val="5"/>
            <c:spPr>
              <a:solidFill>
                <a:schemeClr val="accent5">
                  <a:lumMod val="6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area'!$B$84:$K$84</c:f>
              <c:numCache>
                <c:formatCode>General</c:formatCode>
                <c:ptCount val="10"/>
                <c:pt idx="0">
                  <c:v>0</c:v>
                </c:pt>
                <c:pt idx="1">
                  <c:v>3</c:v>
                </c:pt>
                <c:pt idx="2">
                  <c:v>2</c:v>
                </c:pt>
                <c:pt idx="3">
                  <c:v>2</c:v>
                </c:pt>
                <c:pt idx="4">
                  <c:v>3</c:v>
                </c:pt>
                <c:pt idx="5">
                  <c:v>0</c:v>
                </c:pt>
                <c:pt idx="6">
                  <c:v>0</c:v>
                </c:pt>
                <c:pt idx="7">
                  <c:v>0</c:v>
                </c:pt>
                <c:pt idx="8">
                  <c:v>4</c:v>
                </c:pt>
                <c:pt idx="9">
                  <c:v>0</c:v>
                </c:pt>
              </c:numCache>
            </c:numRef>
          </c:val>
          <c:smooth val="0"/>
          <c:extLst>
            <c:ext xmlns:c16="http://schemas.microsoft.com/office/drawing/2014/chart" uri="{C3380CC4-5D6E-409C-BE32-E72D297353CC}">
              <c16:uniqueId val="{00000036-7384-46B8-B305-AEBD92A60BF1}"/>
            </c:ext>
          </c:extLst>
        </c:ser>
        <c:ser>
          <c:idx val="11"/>
          <c:order val="11"/>
          <c:tx>
            <c:strRef>
              <c:f>'By therapy area'!$A$85</c:f>
              <c:strCache>
                <c:ptCount val="1"/>
                <c:pt idx="0">
                  <c:v>Gynacology</c:v>
                </c:pt>
              </c:strCache>
            </c:strRef>
          </c:tx>
          <c:spPr>
            <a:ln w="19050" cap="rnd">
              <a:noFill/>
              <a:round/>
            </a:ln>
            <a:effectLst/>
          </c:spPr>
          <c:marker>
            <c:symbol val="circle"/>
            <c:size val="5"/>
            <c:spPr>
              <a:solidFill>
                <a:schemeClr val="accent6">
                  <a:lumMod val="6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area'!$B$85:$K$85</c:f>
              <c:numCache>
                <c:formatCode>General</c:formatCode>
                <c:ptCount val="10"/>
                <c:pt idx="0">
                  <c:v>0</c:v>
                </c:pt>
                <c:pt idx="1">
                  <c:v>0</c:v>
                </c:pt>
                <c:pt idx="2">
                  <c:v>0</c:v>
                </c:pt>
                <c:pt idx="3">
                  <c:v>1</c:v>
                </c:pt>
                <c:pt idx="4">
                  <c:v>0</c:v>
                </c:pt>
                <c:pt idx="5">
                  <c:v>1</c:v>
                </c:pt>
                <c:pt idx="6">
                  <c:v>1</c:v>
                </c:pt>
                <c:pt idx="7">
                  <c:v>0</c:v>
                </c:pt>
                <c:pt idx="8">
                  <c:v>0</c:v>
                </c:pt>
                <c:pt idx="9">
                  <c:v>0</c:v>
                </c:pt>
              </c:numCache>
            </c:numRef>
          </c:val>
          <c:smooth val="0"/>
          <c:extLst>
            <c:ext xmlns:c16="http://schemas.microsoft.com/office/drawing/2014/chart" uri="{C3380CC4-5D6E-409C-BE32-E72D297353CC}">
              <c16:uniqueId val="{00000037-7384-46B8-B305-AEBD92A60BF1}"/>
            </c:ext>
          </c:extLst>
        </c:ser>
        <c:ser>
          <c:idx val="12"/>
          <c:order val="12"/>
          <c:tx>
            <c:strRef>
              <c:f>'By therapy area'!$A$86</c:f>
              <c:strCache>
                <c:ptCount val="1"/>
                <c:pt idx="0">
                  <c:v>Digestive system</c:v>
                </c:pt>
              </c:strCache>
            </c:strRef>
          </c:tx>
          <c:spPr>
            <a:ln w="19050" cap="rnd">
              <a:noFill/>
              <a:round/>
            </a:ln>
            <a:effectLst/>
          </c:spPr>
          <c:marker>
            <c:symbol val="circle"/>
            <c:size val="5"/>
            <c:spPr>
              <a:solidFill>
                <a:schemeClr val="accent1">
                  <a:lumMod val="80000"/>
                  <a:lumOff val="2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area'!$B$86:$K$86</c:f>
              <c:numCache>
                <c:formatCode>General</c:formatCode>
                <c:ptCount val="10"/>
                <c:pt idx="0">
                  <c:v>0</c:v>
                </c:pt>
                <c:pt idx="1">
                  <c:v>0</c:v>
                </c:pt>
                <c:pt idx="2">
                  <c:v>0</c:v>
                </c:pt>
                <c:pt idx="3">
                  <c:v>0</c:v>
                </c:pt>
                <c:pt idx="4">
                  <c:v>0</c:v>
                </c:pt>
                <c:pt idx="5">
                  <c:v>1</c:v>
                </c:pt>
                <c:pt idx="6">
                  <c:v>2</c:v>
                </c:pt>
                <c:pt idx="7">
                  <c:v>1</c:v>
                </c:pt>
                <c:pt idx="8">
                  <c:v>0</c:v>
                </c:pt>
                <c:pt idx="9">
                  <c:v>2</c:v>
                </c:pt>
              </c:numCache>
            </c:numRef>
          </c:val>
          <c:smooth val="0"/>
          <c:extLst>
            <c:ext xmlns:c16="http://schemas.microsoft.com/office/drawing/2014/chart" uri="{C3380CC4-5D6E-409C-BE32-E72D297353CC}">
              <c16:uniqueId val="{00000038-7384-46B8-B305-AEBD92A60BF1}"/>
            </c:ext>
          </c:extLst>
        </c:ser>
        <c:ser>
          <c:idx val="13"/>
          <c:order val="13"/>
          <c:tx>
            <c:strRef>
              <c:f>'By therapy area'!$A$87</c:f>
              <c:strCache>
                <c:ptCount val="1"/>
                <c:pt idx="0">
                  <c:v>Central nervous system</c:v>
                </c:pt>
              </c:strCache>
            </c:strRef>
          </c:tx>
          <c:spPr>
            <a:ln w="19050" cap="rnd">
              <a:noFill/>
              <a:round/>
            </a:ln>
            <a:effectLst/>
          </c:spPr>
          <c:marker>
            <c:symbol val="circle"/>
            <c:size val="5"/>
            <c:spPr>
              <a:solidFill>
                <a:schemeClr val="accent2">
                  <a:lumMod val="80000"/>
                  <a:lumOff val="2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area'!$B$87:$K$87</c:f>
              <c:numCache>
                <c:formatCode>General</c:formatCode>
                <c:ptCount val="10"/>
                <c:pt idx="0">
                  <c:v>0</c:v>
                </c:pt>
                <c:pt idx="1">
                  <c:v>0</c:v>
                </c:pt>
                <c:pt idx="2">
                  <c:v>0</c:v>
                </c:pt>
                <c:pt idx="3">
                  <c:v>1</c:v>
                </c:pt>
                <c:pt idx="4">
                  <c:v>3</c:v>
                </c:pt>
                <c:pt idx="5">
                  <c:v>1</c:v>
                </c:pt>
                <c:pt idx="6">
                  <c:v>3</c:v>
                </c:pt>
                <c:pt idx="7">
                  <c:v>1</c:v>
                </c:pt>
                <c:pt idx="8">
                  <c:v>6</c:v>
                </c:pt>
                <c:pt idx="9">
                  <c:v>1</c:v>
                </c:pt>
              </c:numCache>
            </c:numRef>
          </c:val>
          <c:smooth val="0"/>
          <c:extLst>
            <c:ext xmlns:c16="http://schemas.microsoft.com/office/drawing/2014/chart" uri="{C3380CC4-5D6E-409C-BE32-E72D297353CC}">
              <c16:uniqueId val="{00000039-7384-46B8-B305-AEBD92A60BF1}"/>
            </c:ext>
          </c:extLst>
        </c:ser>
        <c:ser>
          <c:idx val="14"/>
          <c:order val="14"/>
          <c:tx>
            <c:strRef>
              <c:f>'By therapy area'!$A$88</c:f>
              <c:strCache>
                <c:ptCount val="1"/>
                <c:pt idx="0">
                  <c:v>Mental and behavioural disorders</c:v>
                </c:pt>
              </c:strCache>
            </c:strRef>
          </c:tx>
          <c:spPr>
            <a:ln w="19050" cap="rnd">
              <a:noFill/>
              <a:round/>
            </a:ln>
            <a:effectLst/>
          </c:spPr>
          <c:marker>
            <c:symbol val="circle"/>
            <c:size val="5"/>
            <c:spPr>
              <a:solidFill>
                <a:schemeClr val="accent3">
                  <a:lumMod val="80000"/>
                  <a:lumOff val="2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area'!$B$88:$K$88</c:f>
              <c:numCache>
                <c:formatCode>General</c:formatCode>
                <c:ptCount val="10"/>
                <c:pt idx="0">
                  <c:v>0</c:v>
                </c:pt>
                <c:pt idx="1">
                  <c:v>0</c:v>
                </c:pt>
                <c:pt idx="2">
                  <c:v>0</c:v>
                </c:pt>
                <c:pt idx="3">
                  <c:v>0</c:v>
                </c:pt>
                <c:pt idx="4">
                  <c:v>0</c:v>
                </c:pt>
                <c:pt idx="5">
                  <c:v>0</c:v>
                </c:pt>
                <c:pt idx="6">
                  <c:v>0</c:v>
                </c:pt>
                <c:pt idx="7">
                  <c:v>0</c:v>
                </c:pt>
                <c:pt idx="8">
                  <c:v>1</c:v>
                </c:pt>
                <c:pt idx="9">
                  <c:v>1</c:v>
                </c:pt>
              </c:numCache>
            </c:numRef>
          </c:val>
          <c:smooth val="0"/>
          <c:extLst>
            <c:ext xmlns:c16="http://schemas.microsoft.com/office/drawing/2014/chart" uri="{C3380CC4-5D6E-409C-BE32-E72D297353CC}">
              <c16:uniqueId val="{0000003A-7384-46B8-B305-AEBD92A60BF1}"/>
            </c:ext>
          </c:extLst>
        </c:ser>
        <c:ser>
          <c:idx val="15"/>
          <c:order val="15"/>
          <c:tx>
            <c:strRef>
              <c:f>'By therapy area'!$A$89</c:f>
              <c:strCache>
                <c:ptCount val="1"/>
                <c:pt idx="0">
                  <c:v>Rare Disease</c:v>
                </c:pt>
              </c:strCache>
            </c:strRef>
          </c:tx>
          <c:spPr>
            <a:ln w="19050" cap="rnd">
              <a:noFill/>
              <a:round/>
            </a:ln>
            <a:effectLst/>
          </c:spPr>
          <c:marker>
            <c:symbol val="circle"/>
            <c:size val="5"/>
            <c:spPr>
              <a:solidFill>
                <a:schemeClr val="accent4">
                  <a:lumMod val="80000"/>
                  <a:lumOff val="2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area'!$B$89:$K$89</c:f>
              <c:numCache>
                <c:formatCode>General</c:formatCode>
                <c:ptCount val="10"/>
                <c:pt idx="0">
                  <c:v>0</c:v>
                </c:pt>
                <c:pt idx="1">
                  <c:v>0</c:v>
                </c:pt>
                <c:pt idx="2">
                  <c:v>0</c:v>
                </c:pt>
                <c:pt idx="3">
                  <c:v>0</c:v>
                </c:pt>
                <c:pt idx="4">
                  <c:v>0</c:v>
                </c:pt>
                <c:pt idx="5">
                  <c:v>0</c:v>
                </c:pt>
                <c:pt idx="6">
                  <c:v>0</c:v>
                </c:pt>
                <c:pt idx="7">
                  <c:v>0</c:v>
                </c:pt>
                <c:pt idx="8">
                  <c:v>1</c:v>
                </c:pt>
                <c:pt idx="9">
                  <c:v>1</c:v>
                </c:pt>
              </c:numCache>
            </c:numRef>
          </c:val>
          <c:smooth val="0"/>
          <c:extLst>
            <c:ext xmlns:c16="http://schemas.microsoft.com/office/drawing/2014/chart" uri="{C3380CC4-5D6E-409C-BE32-E72D297353CC}">
              <c16:uniqueId val="{00000042-7384-46B8-B305-AEBD92A60BF1}"/>
            </c:ext>
          </c:extLst>
        </c:ser>
        <c:ser>
          <c:idx val="16"/>
          <c:order val="16"/>
          <c:tx>
            <c:strRef>
              <c:f>'By therapy area'!$A$90</c:f>
              <c:strCache>
                <c:ptCount val="1"/>
                <c:pt idx="0">
                  <c:v>Vaccines</c:v>
                </c:pt>
              </c:strCache>
            </c:strRef>
          </c:tx>
          <c:spPr>
            <a:ln w="19050" cap="rnd">
              <a:noFill/>
              <a:round/>
            </a:ln>
            <a:effectLst/>
          </c:spPr>
          <c:marker>
            <c:symbol val="circle"/>
            <c:size val="5"/>
            <c:spPr>
              <a:solidFill>
                <a:schemeClr val="accent5">
                  <a:lumMod val="80000"/>
                  <a:lumOff val="2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area'!$B$90:$K$90</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43-7384-46B8-B305-AEBD92A60BF1}"/>
            </c:ext>
          </c:extLst>
        </c:ser>
        <c:ser>
          <c:idx val="17"/>
          <c:order val="17"/>
          <c:tx>
            <c:strRef>
              <c:f>'By therapy area'!$A$91</c:f>
              <c:strCache>
                <c:ptCount val="1"/>
                <c:pt idx="0">
                  <c:v>Urology</c:v>
                </c:pt>
              </c:strCache>
            </c:strRef>
          </c:tx>
          <c:spPr>
            <a:ln w="19050" cap="rnd">
              <a:noFill/>
              <a:round/>
            </a:ln>
            <a:effectLst/>
          </c:spPr>
          <c:marker>
            <c:symbol val="circle"/>
            <c:size val="5"/>
            <c:spPr>
              <a:solidFill>
                <a:schemeClr val="accent6">
                  <a:lumMod val="80000"/>
                  <a:lumOff val="2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area'!$B$91:$K$91</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44-7384-46B8-B305-AEBD92A60BF1}"/>
            </c:ext>
          </c:extLst>
        </c:ser>
        <c:ser>
          <c:idx val="18"/>
          <c:order val="18"/>
          <c:tx>
            <c:strRef>
              <c:f>'By therapy area'!$A$92</c:f>
              <c:strCache>
                <c:ptCount val="1"/>
                <c:pt idx="0">
                  <c:v>Neurology</c:v>
                </c:pt>
              </c:strCache>
            </c:strRef>
          </c:tx>
          <c:spPr>
            <a:ln w="19050" cap="rnd">
              <a:noFill/>
              <a:round/>
            </a:ln>
            <a:effectLst/>
          </c:spPr>
          <c:marker>
            <c:symbol val="circle"/>
            <c:size val="5"/>
            <c:spPr>
              <a:solidFill>
                <a:schemeClr val="accent1">
                  <a:lumMod val="8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area'!$B$92:$K$92</c:f>
              <c:numCache>
                <c:formatCode>General</c:formatCode>
                <c:ptCount val="10"/>
                <c:pt idx="0">
                  <c:v>0</c:v>
                </c:pt>
                <c:pt idx="1">
                  <c:v>0</c:v>
                </c:pt>
                <c:pt idx="2">
                  <c:v>0</c:v>
                </c:pt>
                <c:pt idx="3">
                  <c:v>0</c:v>
                </c:pt>
                <c:pt idx="4">
                  <c:v>0</c:v>
                </c:pt>
                <c:pt idx="5">
                  <c:v>0</c:v>
                </c:pt>
                <c:pt idx="6">
                  <c:v>0</c:v>
                </c:pt>
                <c:pt idx="7">
                  <c:v>1</c:v>
                </c:pt>
                <c:pt idx="8">
                  <c:v>1</c:v>
                </c:pt>
                <c:pt idx="9">
                  <c:v>1</c:v>
                </c:pt>
              </c:numCache>
            </c:numRef>
          </c:val>
          <c:smooth val="0"/>
          <c:extLst>
            <c:ext xmlns:c16="http://schemas.microsoft.com/office/drawing/2014/chart" uri="{C3380CC4-5D6E-409C-BE32-E72D297353CC}">
              <c16:uniqueId val="{00000045-7384-46B8-B305-AEBD92A60BF1}"/>
            </c:ext>
          </c:extLst>
        </c:ser>
        <c:ser>
          <c:idx val="19"/>
          <c:order val="19"/>
          <c:tx>
            <c:strRef>
              <c:f>'By therapy area'!$A$93</c:f>
              <c:strCache>
                <c:ptCount val="1"/>
                <c:pt idx="0">
                  <c:v>Rheumatology</c:v>
                </c:pt>
              </c:strCache>
            </c:strRef>
          </c:tx>
          <c:spPr>
            <a:ln w="19050" cap="rnd">
              <a:noFill/>
              <a:round/>
            </a:ln>
            <a:effectLst/>
          </c:spPr>
          <c:marker>
            <c:symbol val="circle"/>
            <c:size val="5"/>
            <c:spPr>
              <a:solidFill>
                <a:schemeClr val="accent2">
                  <a:lumMod val="8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area'!$B$93:$K$93</c:f>
              <c:numCache>
                <c:formatCode>General</c:formatCode>
                <c:ptCount val="10"/>
                <c:pt idx="0">
                  <c:v>0</c:v>
                </c:pt>
                <c:pt idx="1">
                  <c:v>0</c:v>
                </c:pt>
                <c:pt idx="2">
                  <c:v>0</c:v>
                </c:pt>
                <c:pt idx="3">
                  <c:v>0</c:v>
                </c:pt>
                <c:pt idx="4">
                  <c:v>0</c:v>
                </c:pt>
                <c:pt idx="5">
                  <c:v>0</c:v>
                </c:pt>
                <c:pt idx="6">
                  <c:v>0</c:v>
                </c:pt>
                <c:pt idx="7">
                  <c:v>1</c:v>
                </c:pt>
                <c:pt idx="8">
                  <c:v>0</c:v>
                </c:pt>
                <c:pt idx="9">
                  <c:v>0</c:v>
                </c:pt>
              </c:numCache>
            </c:numRef>
          </c:val>
          <c:smooth val="0"/>
          <c:extLst>
            <c:ext xmlns:c16="http://schemas.microsoft.com/office/drawing/2014/chart" uri="{C3380CC4-5D6E-409C-BE32-E72D297353CC}">
              <c16:uniqueId val="{00000046-7384-46B8-B305-AEBD92A60BF1}"/>
            </c:ext>
          </c:extLst>
        </c:ser>
        <c:ser>
          <c:idx val="20"/>
          <c:order val="20"/>
          <c:tx>
            <c:strRef>
              <c:f>'By therapy area'!$A$94</c:f>
              <c:strCache>
                <c:ptCount val="1"/>
                <c:pt idx="0">
                  <c:v>Cardiology</c:v>
                </c:pt>
              </c:strCache>
            </c:strRef>
          </c:tx>
          <c:spPr>
            <a:ln w="19050" cap="rnd">
              <a:noFill/>
              <a:round/>
            </a:ln>
            <a:effectLst/>
          </c:spPr>
          <c:marker>
            <c:symbol val="circle"/>
            <c:size val="5"/>
            <c:spPr>
              <a:solidFill>
                <a:schemeClr val="accent3">
                  <a:lumMod val="8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area'!$B$94:$K$94</c:f>
              <c:numCache>
                <c:formatCode>General</c:formatCode>
                <c:ptCount val="10"/>
                <c:pt idx="0">
                  <c:v>0</c:v>
                </c:pt>
                <c:pt idx="1">
                  <c:v>0</c:v>
                </c:pt>
                <c:pt idx="2">
                  <c:v>0</c:v>
                </c:pt>
                <c:pt idx="3">
                  <c:v>0</c:v>
                </c:pt>
                <c:pt idx="4">
                  <c:v>0</c:v>
                </c:pt>
                <c:pt idx="5">
                  <c:v>0</c:v>
                </c:pt>
                <c:pt idx="6">
                  <c:v>0</c:v>
                </c:pt>
                <c:pt idx="7">
                  <c:v>1</c:v>
                </c:pt>
                <c:pt idx="8">
                  <c:v>2</c:v>
                </c:pt>
                <c:pt idx="9">
                  <c:v>0</c:v>
                </c:pt>
              </c:numCache>
            </c:numRef>
          </c:val>
          <c:smooth val="0"/>
          <c:extLst>
            <c:ext xmlns:c16="http://schemas.microsoft.com/office/drawing/2014/chart" uri="{C3380CC4-5D6E-409C-BE32-E72D297353CC}">
              <c16:uniqueId val="{00000047-7384-46B8-B305-AEBD92A60BF1}"/>
            </c:ext>
          </c:extLst>
        </c:ser>
        <c:ser>
          <c:idx val="21"/>
          <c:order val="21"/>
          <c:tx>
            <c:strRef>
              <c:f>'By therapy area'!$A$95</c:f>
              <c:strCache>
                <c:ptCount val="1"/>
                <c:pt idx="0">
                  <c:v>Rare disease/ Ophthalmology</c:v>
                </c:pt>
              </c:strCache>
            </c:strRef>
          </c:tx>
          <c:spPr>
            <a:ln w="19050" cap="rnd">
              <a:noFill/>
              <a:round/>
            </a:ln>
            <a:effectLst/>
          </c:spPr>
          <c:marker>
            <c:symbol val="circle"/>
            <c:size val="5"/>
            <c:spPr>
              <a:solidFill>
                <a:schemeClr val="accent4">
                  <a:lumMod val="8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area'!$B$95:$K$95</c:f>
              <c:numCache>
                <c:formatCode>General</c:formatCode>
                <c:ptCount val="10"/>
                <c:pt idx="0">
                  <c:v>0</c:v>
                </c:pt>
                <c:pt idx="1">
                  <c:v>0</c:v>
                </c:pt>
                <c:pt idx="2">
                  <c:v>0</c:v>
                </c:pt>
                <c:pt idx="3">
                  <c:v>0</c:v>
                </c:pt>
                <c:pt idx="4">
                  <c:v>0</c:v>
                </c:pt>
                <c:pt idx="5">
                  <c:v>0</c:v>
                </c:pt>
                <c:pt idx="6">
                  <c:v>0</c:v>
                </c:pt>
                <c:pt idx="7">
                  <c:v>1</c:v>
                </c:pt>
                <c:pt idx="8">
                  <c:v>0</c:v>
                </c:pt>
                <c:pt idx="9">
                  <c:v>0</c:v>
                </c:pt>
              </c:numCache>
            </c:numRef>
          </c:val>
          <c:smooth val="0"/>
          <c:extLst>
            <c:ext xmlns:c16="http://schemas.microsoft.com/office/drawing/2014/chart" uri="{C3380CC4-5D6E-409C-BE32-E72D297353CC}">
              <c16:uniqueId val="{00000048-7384-46B8-B305-AEBD92A60BF1}"/>
            </c:ext>
          </c:extLst>
        </c:ser>
        <c:ser>
          <c:idx val="22"/>
          <c:order val="22"/>
          <c:tx>
            <c:strRef>
              <c:f>'By therapy area'!$A$96</c:f>
              <c:strCache>
                <c:ptCount val="1"/>
                <c:pt idx="0">
                  <c:v>Rare disease/ Rheumatology</c:v>
                </c:pt>
              </c:strCache>
            </c:strRef>
          </c:tx>
          <c:spPr>
            <a:ln w="19050" cap="rnd">
              <a:noFill/>
              <a:round/>
            </a:ln>
            <a:effectLst/>
          </c:spPr>
          <c:marker>
            <c:symbol val="circle"/>
            <c:size val="5"/>
            <c:spPr>
              <a:solidFill>
                <a:schemeClr val="accent5">
                  <a:lumMod val="8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area'!$B$96:$K$96</c:f>
              <c:numCache>
                <c:formatCode>General</c:formatCode>
                <c:ptCount val="10"/>
                <c:pt idx="0">
                  <c:v>0</c:v>
                </c:pt>
                <c:pt idx="1">
                  <c:v>0</c:v>
                </c:pt>
                <c:pt idx="2">
                  <c:v>0</c:v>
                </c:pt>
                <c:pt idx="3">
                  <c:v>0</c:v>
                </c:pt>
                <c:pt idx="4">
                  <c:v>0</c:v>
                </c:pt>
                <c:pt idx="5">
                  <c:v>0</c:v>
                </c:pt>
                <c:pt idx="6">
                  <c:v>0</c:v>
                </c:pt>
                <c:pt idx="7">
                  <c:v>0</c:v>
                </c:pt>
                <c:pt idx="8">
                  <c:v>1</c:v>
                </c:pt>
                <c:pt idx="9">
                  <c:v>0</c:v>
                </c:pt>
              </c:numCache>
            </c:numRef>
          </c:val>
          <c:smooth val="0"/>
          <c:extLst>
            <c:ext xmlns:c16="http://schemas.microsoft.com/office/drawing/2014/chart" uri="{C3380CC4-5D6E-409C-BE32-E72D297353CC}">
              <c16:uniqueId val="{00000049-7384-46B8-B305-AEBD92A60BF1}"/>
            </c:ext>
          </c:extLst>
        </c:ser>
        <c:ser>
          <c:idx val="23"/>
          <c:order val="23"/>
          <c:tx>
            <c:strRef>
              <c:f>'By therapy area'!$A$97</c:f>
              <c:strCache>
                <c:ptCount val="1"/>
                <c:pt idx="0">
                  <c:v>Dermatology/ Rheumatology</c:v>
                </c:pt>
              </c:strCache>
            </c:strRef>
          </c:tx>
          <c:spPr>
            <a:ln w="19050" cap="rnd">
              <a:noFill/>
              <a:round/>
            </a:ln>
            <a:effectLst/>
          </c:spPr>
          <c:marker>
            <c:symbol val="circle"/>
            <c:size val="5"/>
            <c:spPr>
              <a:solidFill>
                <a:schemeClr val="accent6">
                  <a:lumMod val="8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area'!$B$97:$K$97</c:f>
              <c:numCache>
                <c:formatCode>General</c:formatCode>
                <c:ptCount val="10"/>
                <c:pt idx="0">
                  <c:v>0</c:v>
                </c:pt>
                <c:pt idx="1">
                  <c:v>0</c:v>
                </c:pt>
                <c:pt idx="2">
                  <c:v>0</c:v>
                </c:pt>
                <c:pt idx="3">
                  <c:v>0</c:v>
                </c:pt>
                <c:pt idx="4">
                  <c:v>0</c:v>
                </c:pt>
                <c:pt idx="5">
                  <c:v>0</c:v>
                </c:pt>
                <c:pt idx="6">
                  <c:v>0</c:v>
                </c:pt>
                <c:pt idx="7">
                  <c:v>0</c:v>
                </c:pt>
                <c:pt idx="8">
                  <c:v>0</c:v>
                </c:pt>
                <c:pt idx="9">
                  <c:v>1</c:v>
                </c:pt>
              </c:numCache>
            </c:numRef>
          </c:val>
          <c:smooth val="0"/>
          <c:extLst>
            <c:ext xmlns:c16="http://schemas.microsoft.com/office/drawing/2014/chart" uri="{C3380CC4-5D6E-409C-BE32-E72D297353CC}">
              <c16:uniqueId val="{0000004A-7384-46B8-B305-AEBD92A60BF1}"/>
            </c:ext>
          </c:extLst>
        </c:ser>
        <c:ser>
          <c:idx val="24"/>
          <c:order val="24"/>
          <c:tx>
            <c:strRef>
              <c:f>'By therapy area'!$A$98</c:f>
              <c:strCache>
                <c:ptCount val="1"/>
                <c:pt idx="0">
                  <c:v>Hematology</c:v>
                </c:pt>
              </c:strCache>
            </c:strRef>
          </c:tx>
          <c:spPr>
            <a:ln w="19050" cap="rnd">
              <a:noFill/>
              <a:round/>
            </a:ln>
            <a:effectLst/>
          </c:spPr>
          <c:marker>
            <c:symbol val="circle"/>
            <c:size val="5"/>
            <c:spPr>
              <a:solidFill>
                <a:schemeClr val="accent1">
                  <a:lumMod val="60000"/>
                  <a:lumOff val="4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area'!$B$98:$K$98</c:f>
              <c:numCache>
                <c:formatCode>General</c:formatCode>
                <c:ptCount val="10"/>
                <c:pt idx="0">
                  <c:v>0</c:v>
                </c:pt>
                <c:pt idx="1">
                  <c:v>0</c:v>
                </c:pt>
                <c:pt idx="2">
                  <c:v>0</c:v>
                </c:pt>
                <c:pt idx="3">
                  <c:v>0</c:v>
                </c:pt>
                <c:pt idx="4">
                  <c:v>0</c:v>
                </c:pt>
                <c:pt idx="5">
                  <c:v>0</c:v>
                </c:pt>
                <c:pt idx="6">
                  <c:v>0</c:v>
                </c:pt>
                <c:pt idx="7">
                  <c:v>0</c:v>
                </c:pt>
                <c:pt idx="8">
                  <c:v>1</c:v>
                </c:pt>
                <c:pt idx="9">
                  <c:v>1</c:v>
                </c:pt>
              </c:numCache>
            </c:numRef>
          </c:val>
          <c:smooth val="0"/>
          <c:extLst>
            <c:ext xmlns:c16="http://schemas.microsoft.com/office/drawing/2014/chart" uri="{C3380CC4-5D6E-409C-BE32-E72D297353CC}">
              <c16:uniqueId val="{0000004B-7384-46B8-B305-AEBD92A60BF1}"/>
            </c:ext>
          </c:extLst>
        </c:ser>
        <c:ser>
          <c:idx val="25"/>
          <c:order val="25"/>
          <c:tx>
            <c:strRef>
              <c:f>'By therapy area'!$A$99</c:f>
              <c:strCache>
                <c:ptCount val="1"/>
                <c:pt idx="0">
                  <c:v>Medical device</c:v>
                </c:pt>
              </c:strCache>
            </c:strRef>
          </c:tx>
          <c:spPr>
            <a:ln w="19050" cap="rnd">
              <a:noFill/>
              <a:round/>
            </a:ln>
            <a:effectLst/>
          </c:spPr>
          <c:marker>
            <c:symbol val="circle"/>
            <c:size val="5"/>
            <c:spPr>
              <a:solidFill>
                <a:schemeClr val="accent2">
                  <a:lumMod val="60000"/>
                  <a:lumOff val="4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area'!$B$99:$K$99</c:f>
              <c:numCache>
                <c:formatCode>General</c:formatCode>
                <c:ptCount val="10"/>
                <c:pt idx="0">
                  <c:v>0</c:v>
                </c:pt>
                <c:pt idx="1">
                  <c:v>0</c:v>
                </c:pt>
                <c:pt idx="2">
                  <c:v>0</c:v>
                </c:pt>
                <c:pt idx="3">
                  <c:v>0</c:v>
                </c:pt>
                <c:pt idx="4">
                  <c:v>0</c:v>
                </c:pt>
                <c:pt idx="5">
                  <c:v>0</c:v>
                </c:pt>
                <c:pt idx="6">
                  <c:v>0</c:v>
                </c:pt>
                <c:pt idx="7">
                  <c:v>0</c:v>
                </c:pt>
                <c:pt idx="8">
                  <c:v>0</c:v>
                </c:pt>
                <c:pt idx="9">
                  <c:v>1</c:v>
                </c:pt>
              </c:numCache>
            </c:numRef>
          </c:val>
          <c:smooth val="0"/>
          <c:extLst>
            <c:ext xmlns:c16="http://schemas.microsoft.com/office/drawing/2014/chart" uri="{C3380CC4-5D6E-409C-BE32-E72D297353CC}">
              <c16:uniqueId val="{0000004C-7384-46B8-B305-AEBD92A60BF1}"/>
            </c:ext>
          </c:extLst>
        </c:ser>
        <c:ser>
          <c:idx val="26"/>
          <c:order val="26"/>
          <c:tx>
            <c:strRef>
              <c:f>'By therapy area'!$A$100</c:f>
              <c:strCache>
                <c:ptCount val="1"/>
                <c:pt idx="0">
                  <c:v>Surgical operation</c:v>
                </c:pt>
              </c:strCache>
            </c:strRef>
          </c:tx>
          <c:spPr>
            <a:ln w="19050" cap="rnd">
              <a:noFill/>
              <a:round/>
            </a:ln>
            <a:effectLst/>
          </c:spPr>
          <c:marker>
            <c:symbol val="circle"/>
            <c:size val="5"/>
            <c:spPr>
              <a:solidFill>
                <a:schemeClr val="accent3">
                  <a:lumMod val="60000"/>
                  <a:lumOff val="4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area'!$B$100:$K$100</c:f>
              <c:numCache>
                <c:formatCode>General</c:formatCode>
                <c:ptCount val="10"/>
                <c:pt idx="0">
                  <c:v>0</c:v>
                </c:pt>
                <c:pt idx="1">
                  <c:v>0</c:v>
                </c:pt>
                <c:pt idx="2">
                  <c:v>0</c:v>
                </c:pt>
                <c:pt idx="3">
                  <c:v>0</c:v>
                </c:pt>
                <c:pt idx="4">
                  <c:v>0</c:v>
                </c:pt>
                <c:pt idx="5">
                  <c:v>0</c:v>
                </c:pt>
                <c:pt idx="6">
                  <c:v>0</c:v>
                </c:pt>
                <c:pt idx="7">
                  <c:v>0</c:v>
                </c:pt>
                <c:pt idx="8">
                  <c:v>1</c:v>
                </c:pt>
                <c:pt idx="9">
                  <c:v>0</c:v>
                </c:pt>
              </c:numCache>
            </c:numRef>
          </c:val>
          <c:smooth val="0"/>
          <c:extLst>
            <c:ext xmlns:c16="http://schemas.microsoft.com/office/drawing/2014/chart" uri="{C3380CC4-5D6E-409C-BE32-E72D297353CC}">
              <c16:uniqueId val="{0000004D-7384-46B8-B305-AEBD92A60BF1}"/>
            </c:ext>
          </c:extLst>
        </c:ser>
        <c:ser>
          <c:idx val="27"/>
          <c:order val="27"/>
          <c:tx>
            <c:strRef>
              <c:f>'By therapy area'!$A$101</c:f>
              <c:strCache>
                <c:ptCount val="1"/>
                <c:pt idx="0">
                  <c:v>Psychiatry</c:v>
                </c:pt>
              </c:strCache>
            </c:strRef>
          </c:tx>
          <c:spPr>
            <a:ln w="19050" cap="rnd">
              <a:noFill/>
              <a:round/>
            </a:ln>
            <a:effectLst/>
          </c:spPr>
          <c:marker>
            <c:symbol val="circle"/>
            <c:size val="5"/>
            <c:spPr>
              <a:solidFill>
                <a:schemeClr val="accent4">
                  <a:lumMod val="60000"/>
                  <a:lumOff val="4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area'!$B$101:$K$101</c:f>
              <c:numCache>
                <c:formatCode>General</c:formatCode>
                <c:ptCount val="10"/>
                <c:pt idx="0">
                  <c:v>0</c:v>
                </c:pt>
                <c:pt idx="1">
                  <c:v>0</c:v>
                </c:pt>
                <c:pt idx="2">
                  <c:v>0</c:v>
                </c:pt>
                <c:pt idx="3">
                  <c:v>0</c:v>
                </c:pt>
                <c:pt idx="4">
                  <c:v>0</c:v>
                </c:pt>
                <c:pt idx="5">
                  <c:v>0</c:v>
                </c:pt>
                <c:pt idx="6">
                  <c:v>0</c:v>
                </c:pt>
                <c:pt idx="7">
                  <c:v>0</c:v>
                </c:pt>
                <c:pt idx="8">
                  <c:v>1</c:v>
                </c:pt>
                <c:pt idx="9">
                  <c:v>0</c:v>
                </c:pt>
              </c:numCache>
            </c:numRef>
          </c:val>
          <c:smooth val="0"/>
          <c:extLst>
            <c:ext xmlns:c16="http://schemas.microsoft.com/office/drawing/2014/chart" uri="{C3380CC4-5D6E-409C-BE32-E72D297353CC}">
              <c16:uniqueId val="{0000004E-7384-46B8-B305-AEBD92A60BF1}"/>
            </c:ext>
          </c:extLst>
        </c:ser>
        <c:ser>
          <c:idx val="28"/>
          <c:order val="28"/>
          <c:tx>
            <c:strRef>
              <c:f>'By therapy area'!$A$102</c:f>
              <c:strCache>
                <c:ptCount val="1"/>
                <c:pt idx="0">
                  <c:v>Haemato-oncology</c:v>
                </c:pt>
              </c:strCache>
            </c:strRef>
          </c:tx>
          <c:spPr>
            <a:ln w="19050" cap="rnd">
              <a:noFill/>
              <a:round/>
            </a:ln>
            <a:effectLst/>
          </c:spPr>
          <c:marker>
            <c:symbol val="circle"/>
            <c:size val="5"/>
            <c:spPr>
              <a:solidFill>
                <a:schemeClr val="accent5">
                  <a:lumMod val="60000"/>
                  <a:lumOff val="40000"/>
                </a:schemeClr>
              </a:solidFill>
              <a:ln w="9525">
                <a:no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area'!$B$102:$K$102</c:f>
              <c:numCache>
                <c:formatCode>General</c:formatCode>
                <c:ptCount val="10"/>
                <c:pt idx="0">
                  <c:v>0</c:v>
                </c:pt>
                <c:pt idx="1">
                  <c:v>0</c:v>
                </c:pt>
                <c:pt idx="2">
                  <c:v>0</c:v>
                </c:pt>
                <c:pt idx="3">
                  <c:v>0</c:v>
                </c:pt>
                <c:pt idx="4">
                  <c:v>0</c:v>
                </c:pt>
                <c:pt idx="5">
                  <c:v>0</c:v>
                </c:pt>
                <c:pt idx="6">
                  <c:v>0</c:v>
                </c:pt>
                <c:pt idx="7">
                  <c:v>0</c:v>
                </c:pt>
                <c:pt idx="8">
                  <c:v>1</c:v>
                </c:pt>
                <c:pt idx="9">
                  <c:v>1</c:v>
                </c:pt>
              </c:numCache>
            </c:numRef>
          </c:val>
          <c:smooth val="0"/>
          <c:extLst>
            <c:ext xmlns:c16="http://schemas.microsoft.com/office/drawing/2014/chart" uri="{C3380CC4-5D6E-409C-BE32-E72D297353CC}">
              <c16:uniqueId val="{0000004F-7384-46B8-B305-AEBD92A60BF1}"/>
            </c:ext>
          </c:extLst>
        </c:ser>
        <c:ser>
          <c:idx val="29"/>
          <c:order val="29"/>
          <c:tx>
            <c:strRef>
              <c:f>'By therapy area'!$A$103</c:f>
              <c:strCache>
                <c:ptCount val="1"/>
                <c:pt idx="0">
                  <c:v>0</c:v>
                </c:pt>
              </c:strCache>
            </c:strRef>
          </c:tx>
          <c:spPr>
            <a:ln w="19050"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area'!$B$103:$K$103</c:f>
            </c:numRef>
          </c:val>
          <c:smooth val="0"/>
          <c:extLst>
            <c:ext xmlns:c16="http://schemas.microsoft.com/office/drawing/2014/chart" uri="{C3380CC4-5D6E-409C-BE32-E72D297353CC}">
              <c16:uniqueId val="{00000005-4B85-43EF-ABD4-D0793ED341E5}"/>
            </c:ext>
          </c:extLst>
        </c:ser>
        <c:ser>
          <c:idx val="30"/>
          <c:order val="30"/>
          <c:tx>
            <c:strRef>
              <c:f>'By therapy area'!$A$104</c:f>
              <c:strCache>
                <c:ptCount val="1"/>
                <c:pt idx="0">
                  <c:v>0</c:v>
                </c:pt>
              </c:strCache>
            </c:strRef>
          </c:tx>
          <c:spPr>
            <a:ln w="19050"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area'!$B$104:$K$104</c:f>
            </c:numRef>
          </c:val>
          <c:smooth val="0"/>
          <c:extLst>
            <c:ext xmlns:c16="http://schemas.microsoft.com/office/drawing/2014/chart" uri="{C3380CC4-5D6E-409C-BE32-E72D297353CC}">
              <c16:uniqueId val="{00000006-4B85-43EF-ABD4-D0793ED341E5}"/>
            </c:ext>
          </c:extLst>
        </c:ser>
        <c:ser>
          <c:idx val="31"/>
          <c:order val="31"/>
          <c:tx>
            <c:strRef>
              <c:f>'By therapy area'!$A$105</c:f>
              <c:strCache>
                <c:ptCount val="1"/>
                <c:pt idx="0">
                  <c:v>0</c:v>
                </c:pt>
              </c:strCache>
            </c:strRef>
          </c:tx>
          <c:spPr>
            <a:ln w="19050"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area'!$B$105:$K$105</c:f>
            </c:numRef>
          </c:val>
          <c:smooth val="0"/>
          <c:extLst>
            <c:ext xmlns:c16="http://schemas.microsoft.com/office/drawing/2014/chart" uri="{C3380CC4-5D6E-409C-BE32-E72D297353CC}">
              <c16:uniqueId val="{00000007-4B85-43EF-ABD4-D0793ED341E5}"/>
            </c:ext>
          </c:extLst>
        </c:ser>
        <c:ser>
          <c:idx val="32"/>
          <c:order val="32"/>
          <c:tx>
            <c:strRef>
              <c:f>'By therapy area'!$A$106</c:f>
              <c:strCache>
                <c:ptCount val="1"/>
                <c:pt idx="0">
                  <c:v>0</c:v>
                </c:pt>
              </c:strCache>
            </c:strRef>
          </c:tx>
          <c:spPr>
            <a:ln w="19050"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'By therapy area'!$B$73:$K$73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'By therapy area'!$B$106:$K$106</c:f>
            </c:numRef>
          </c:val>
          <c:smooth val="0"/>
          <c:extLst>
            <c:ext xmlns:c16="http://schemas.microsoft.com/office/drawing/2014/chart" uri="{C3380CC4-5D6E-409C-BE32-E72D297353CC}">
              <c16:uniqueId val="{00000008-4B85-43EF-ABD4-D0793ED341E5}"/>
            </c:ext>
          </c:extLst>
        </c:ser>
        <c:dLbls>
          <c:showLegendKey val="0"/>
          <c:showVal val="0"/>
          <c:showCatName val="0"/>
          <c:showSerName val="0"/>
          <c:showPercent val="0"/>
          <c:showBubbleSize val="0"/>
        </c:dLbls>
        <c:marker val="1"/>
        <c:smooth val="0"/>
        <c:axId val="773031664"/>
        <c:axId val="773034616"/>
      </c:lineChart>
      <c:catAx>
        <c:axId val="773031664"/>
        <c:scaling>
          <c:orientation val="minMax"/>
        </c:scaling>
        <c:delete val="0"/>
        <c:axPos val="b"/>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034616"/>
        <c:crosses val="autoZero"/>
        <c:auto val="1"/>
        <c:lblAlgn val="ctr"/>
        <c:lblOffset val="100"/>
        <c:noMultiLvlLbl val="1"/>
      </c:catAx>
      <c:valAx>
        <c:axId val="773034616"/>
        <c:scaling>
          <c:orientation val="minMax"/>
        </c:scaling>
        <c:delete val="0"/>
        <c:axPos val="l"/>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031664"/>
        <c:crossesAt val="0"/>
        <c:crossBetween val="between"/>
      </c:valAx>
      <c:spPr>
        <a:noFill/>
        <a:ln>
          <a:noFill/>
        </a:ln>
        <a:effectLst/>
      </c:spPr>
    </c:plotArea>
    <c:legend>
      <c:legendPos val="r"/>
      <c:layout>
        <c:manualLayout>
          <c:xMode val="edge"/>
          <c:yMode val="edge"/>
          <c:x val="0.83534512189871857"/>
          <c:y val="5.384372826667562E-2"/>
          <c:w val="0.14580990988375295"/>
          <c:h val="0.8929719548023964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'By therapy area'!$A$192</c:f>
              <c:strCache>
                <c:ptCount val="1"/>
                <c:pt idx="0">
                  <c:v>Haematology</c:v>
                </c:pt>
              </c:strCache>
            </c:strRef>
          </c:tx>
          <c:spPr>
            <a:solidFill>
              <a:schemeClr val="accent1"/>
            </a:solidFill>
            <a:ln>
              <a:noFill/>
            </a:ln>
            <a:effectLst/>
          </c:spPr>
          <c:invertIfNegative val="0"/>
          <c:cat>
            <c:strRef>
              <c:f>'By therapy area'!$B$191:$I$191</c:f>
              <c:strCache>
                <c:ptCount val="8"/>
                <c:pt idx="0">
                  <c:v>2015</c:v>
                </c:pt>
                <c:pt idx="1">
                  <c:v>2016</c:v>
                </c:pt>
                <c:pt idx="2">
                  <c:v>2017</c:v>
                </c:pt>
                <c:pt idx="3">
                  <c:v>2018</c:v>
                </c:pt>
                <c:pt idx="4">
                  <c:v>2019</c:v>
                </c:pt>
                <c:pt idx="5">
                  <c:v>2020</c:v>
                </c:pt>
                <c:pt idx="6">
                  <c:v>2021</c:v>
                </c:pt>
                <c:pt idx="7">
                  <c:v>Total</c:v>
                </c:pt>
              </c:strCache>
            </c:strRef>
          </c:cat>
          <c:val>
            <c:numRef>
              <c:f>'By therapy area'!$B$192:$I$192</c:f>
              <c:numCache>
                <c:formatCode>General</c:formatCode>
                <c:ptCount val="8"/>
                <c:pt idx="0">
                  <c:v>1</c:v>
                </c:pt>
                <c:pt idx="1">
                  <c:v>0</c:v>
                </c:pt>
                <c:pt idx="2">
                  <c:v>0</c:v>
                </c:pt>
                <c:pt idx="3">
                  <c:v>0</c:v>
                </c:pt>
                <c:pt idx="4">
                  <c:v>0</c:v>
                </c:pt>
                <c:pt idx="5">
                  <c:v>0</c:v>
                </c:pt>
                <c:pt idx="6">
                  <c:v>1</c:v>
                </c:pt>
                <c:pt idx="7">
                  <c:v>2</c:v>
                </c:pt>
              </c:numCache>
            </c:numRef>
          </c:val>
          <c:extLst>
            <c:ext xmlns:c16="http://schemas.microsoft.com/office/drawing/2014/chart" uri="{C3380CC4-5D6E-409C-BE32-E72D297353CC}">
              <c16:uniqueId val="{00000000-9C85-4C0C-BE9F-9E1A82C0ABFD}"/>
            </c:ext>
          </c:extLst>
        </c:ser>
        <c:ser>
          <c:idx val="1"/>
          <c:order val="1"/>
          <c:tx>
            <c:strRef>
              <c:f>'By therapy area'!$A$193</c:f>
              <c:strCache>
                <c:ptCount val="1"/>
                <c:pt idx="0">
                  <c:v>Haemato-oncology</c:v>
                </c:pt>
              </c:strCache>
            </c:strRef>
          </c:tx>
          <c:spPr>
            <a:solidFill>
              <a:schemeClr val="accent2"/>
            </a:solidFill>
            <a:ln>
              <a:noFill/>
            </a:ln>
            <a:effectLst/>
          </c:spPr>
          <c:invertIfNegative val="0"/>
          <c:cat>
            <c:strRef>
              <c:f>'By therapy area'!$B$191:$I$191</c:f>
              <c:strCache>
                <c:ptCount val="8"/>
                <c:pt idx="0">
                  <c:v>2015</c:v>
                </c:pt>
                <c:pt idx="1">
                  <c:v>2016</c:v>
                </c:pt>
                <c:pt idx="2">
                  <c:v>2017</c:v>
                </c:pt>
                <c:pt idx="3">
                  <c:v>2018</c:v>
                </c:pt>
                <c:pt idx="4">
                  <c:v>2019</c:v>
                </c:pt>
                <c:pt idx="5">
                  <c:v>2020</c:v>
                </c:pt>
                <c:pt idx="6">
                  <c:v>2021</c:v>
                </c:pt>
                <c:pt idx="7">
                  <c:v>Total</c:v>
                </c:pt>
              </c:strCache>
            </c:strRef>
          </c:cat>
          <c:val>
            <c:numRef>
              <c:f>'By therapy area'!$B$193:$I$193</c:f>
              <c:numCache>
                <c:formatCode>General</c:formatCode>
                <c:ptCount val="8"/>
                <c:pt idx="0">
                  <c:v>1</c:v>
                </c:pt>
                <c:pt idx="1">
                  <c:v>0</c:v>
                </c:pt>
                <c:pt idx="2">
                  <c:v>0</c:v>
                </c:pt>
                <c:pt idx="3">
                  <c:v>0</c:v>
                </c:pt>
                <c:pt idx="4">
                  <c:v>0</c:v>
                </c:pt>
                <c:pt idx="5">
                  <c:v>2</c:v>
                </c:pt>
                <c:pt idx="6">
                  <c:v>0</c:v>
                </c:pt>
                <c:pt idx="7">
                  <c:v>3</c:v>
                </c:pt>
              </c:numCache>
            </c:numRef>
          </c:val>
          <c:extLst>
            <c:ext xmlns:c16="http://schemas.microsoft.com/office/drawing/2014/chart" uri="{C3380CC4-5D6E-409C-BE32-E72D297353CC}">
              <c16:uniqueId val="{00000001-9C85-4C0C-BE9F-9E1A82C0ABFD}"/>
            </c:ext>
          </c:extLst>
        </c:ser>
        <c:ser>
          <c:idx val="2"/>
          <c:order val="2"/>
          <c:tx>
            <c:strRef>
              <c:f>'By therapy area'!$A$194</c:f>
              <c:strCache>
                <c:ptCount val="1"/>
                <c:pt idx="0">
                  <c:v>Metabolic/Endocrine Disorders</c:v>
                </c:pt>
              </c:strCache>
            </c:strRef>
          </c:tx>
          <c:spPr>
            <a:solidFill>
              <a:schemeClr val="accent3"/>
            </a:solidFill>
            <a:ln>
              <a:noFill/>
            </a:ln>
            <a:effectLst/>
          </c:spPr>
          <c:invertIfNegative val="0"/>
          <c:cat>
            <c:strRef>
              <c:f>'By therapy area'!$B$191:$I$191</c:f>
              <c:strCache>
                <c:ptCount val="8"/>
                <c:pt idx="0">
                  <c:v>2015</c:v>
                </c:pt>
                <c:pt idx="1">
                  <c:v>2016</c:v>
                </c:pt>
                <c:pt idx="2">
                  <c:v>2017</c:v>
                </c:pt>
                <c:pt idx="3">
                  <c:v>2018</c:v>
                </c:pt>
                <c:pt idx="4">
                  <c:v>2019</c:v>
                </c:pt>
                <c:pt idx="5">
                  <c:v>2020</c:v>
                </c:pt>
                <c:pt idx="6">
                  <c:v>2021</c:v>
                </c:pt>
                <c:pt idx="7">
                  <c:v>Total</c:v>
                </c:pt>
              </c:strCache>
            </c:strRef>
          </c:cat>
          <c:val>
            <c:numRef>
              <c:f>'By therapy area'!$B$194:$I$194</c:f>
              <c:numCache>
                <c:formatCode>General</c:formatCode>
                <c:ptCount val="8"/>
                <c:pt idx="0">
                  <c:v>1</c:v>
                </c:pt>
                <c:pt idx="1">
                  <c:v>1</c:v>
                </c:pt>
                <c:pt idx="2">
                  <c:v>0</c:v>
                </c:pt>
                <c:pt idx="3">
                  <c:v>1</c:v>
                </c:pt>
                <c:pt idx="4">
                  <c:v>0</c:v>
                </c:pt>
                <c:pt idx="5">
                  <c:v>0</c:v>
                </c:pt>
                <c:pt idx="6">
                  <c:v>0</c:v>
                </c:pt>
                <c:pt idx="7">
                  <c:v>3</c:v>
                </c:pt>
              </c:numCache>
            </c:numRef>
          </c:val>
          <c:extLst>
            <c:ext xmlns:c16="http://schemas.microsoft.com/office/drawing/2014/chart" uri="{C3380CC4-5D6E-409C-BE32-E72D297353CC}">
              <c16:uniqueId val="{00000002-9C85-4C0C-BE9F-9E1A82C0ABFD}"/>
            </c:ext>
          </c:extLst>
        </c:ser>
        <c:ser>
          <c:idx val="3"/>
          <c:order val="3"/>
          <c:tx>
            <c:strRef>
              <c:f>'By therapy area'!$A$195</c:f>
              <c:strCache>
                <c:ptCount val="1"/>
                <c:pt idx="0">
                  <c:v>Cardiorenal/Metabolic</c:v>
                </c:pt>
              </c:strCache>
            </c:strRef>
          </c:tx>
          <c:spPr>
            <a:solidFill>
              <a:schemeClr val="accent4"/>
            </a:solidFill>
            <a:ln>
              <a:noFill/>
            </a:ln>
            <a:effectLst/>
          </c:spPr>
          <c:invertIfNegative val="0"/>
          <c:cat>
            <c:strRef>
              <c:f>'By therapy area'!$B$191:$I$191</c:f>
              <c:strCache>
                <c:ptCount val="8"/>
                <c:pt idx="0">
                  <c:v>2015</c:v>
                </c:pt>
                <c:pt idx="1">
                  <c:v>2016</c:v>
                </c:pt>
                <c:pt idx="2">
                  <c:v>2017</c:v>
                </c:pt>
                <c:pt idx="3">
                  <c:v>2018</c:v>
                </c:pt>
                <c:pt idx="4">
                  <c:v>2019</c:v>
                </c:pt>
                <c:pt idx="5">
                  <c:v>2020</c:v>
                </c:pt>
                <c:pt idx="6">
                  <c:v>2021</c:v>
                </c:pt>
                <c:pt idx="7">
                  <c:v>Total</c:v>
                </c:pt>
              </c:strCache>
            </c:strRef>
          </c:cat>
          <c:val>
            <c:numRef>
              <c:f>'By therapy area'!$B$195:$I$195</c:f>
              <c:numCache>
                <c:formatCode>General</c:formatCode>
                <c:ptCount val="8"/>
                <c:pt idx="0">
                  <c:v>0</c:v>
                </c:pt>
                <c:pt idx="1">
                  <c:v>1</c:v>
                </c:pt>
                <c:pt idx="2">
                  <c:v>0</c:v>
                </c:pt>
                <c:pt idx="3">
                  <c:v>0</c:v>
                </c:pt>
                <c:pt idx="4">
                  <c:v>0</c:v>
                </c:pt>
                <c:pt idx="5">
                  <c:v>0</c:v>
                </c:pt>
                <c:pt idx="6">
                  <c:v>0</c:v>
                </c:pt>
                <c:pt idx="7">
                  <c:v>1</c:v>
                </c:pt>
              </c:numCache>
            </c:numRef>
          </c:val>
          <c:extLst>
            <c:ext xmlns:c16="http://schemas.microsoft.com/office/drawing/2014/chart" uri="{C3380CC4-5D6E-409C-BE32-E72D297353CC}">
              <c16:uniqueId val="{00000003-9C85-4C0C-BE9F-9E1A82C0ABFD}"/>
            </c:ext>
          </c:extLst>
        </c:ser>
        <c:ser>
          <c:idx val="4"/>
          <c:order val="4"/>
          <c:tx>
            <c:strRef>
              <c:f>'By therapy area'!$A$196</c:f>
              <c:strCache>
                <c:ptCount val="1"/>
                <c:pt idx="0">
                  <c:v>Oncology</c:v>
                </c:pt>
              </c:strCache>
            </c:strRef>
          </c:tx>
          <c:spPr>
            <a:solidFill>
              <a:schemeClr val="accent5"/>
            </a:solidFill>
            <a:ln>
              <a:noFill/>
            </a:ln>
            <a:effectLst/>
          </c:spPr>
          <c:invertIfNegative val="0"/>
          <c:cat>
            <c:strRef>
              <c:f>'By therapy area'!$B$191:$I$191</c:f>
              <c:strCache>
                <c:ptCount val="8"/>
                <c:pt idx="0">
                  <c:v>2015</c:v>
                </c:pt>
                <c:pt idx="1">
                  <c:v>2016</c:v>
                </c:pt>
                <c:pt idx="2">
                  <c:v>2017</c:v>
                </c:pt>
                <c:pt idx="3">
                  <c:v>2018</c:v>
                </c:pt>
                <c:pt idx="4">
                  <c:v>2019</c:v>
                </c:pt>
                <c:pt idx="5">
                  <c:v>2020</c:v>
                </c:pt>
                <c:pt idx="6">
                  <c:v>2021</c:v>
                </c:pt>
                <c:pt idx="7">
                  <c:v>Total</c:v>
                </c:pt>
              </c:strCache>
            </c:strRef>
          </c:cat>
          <c:val>
            <c:numRef>
              <c:f>'By therapy area'!$B$196:$I$196</c:f>
              <c:numCache>
                <c:formatCode>General</c:formatCode>
                <c:ptCount val="8"/>
                <c:pt idx="0">
                  <c:v>0</c:v>
                </c:pt>
                <c:pt idx="1">
                  <c:v>0</c:v>
                </c:pt>
                <c:pt idx="2">
                  <c:v>2</c:v>
                </c:pt>
                <c:pt idx="3">
                  <c:v>2</c:v>
                </c:pt>
                <c:pt idx="4">
                  <c:v>1</c:v>
                </c:pt>
                <c:pt idx="5">
                  <c:v>1</c:v>
                </c:pt>
                <c:pt idx="6">
                  <c:v>1</c:v>
                </c:pt>
                <c:pt idx="7">
                  <c:v>7</c:v>
                </c:pt>
              </c:numCache>
            </c:numRef>
          </c:val>
          <c:extLst>
            <c:ext xmlns:c16="http://schemas.microsoft.com/office/drawing/2014/chart" uri="{C3380CC4-5D6E-409C-BE32-E72D297353CC}">
              <c16:uniqueId val="{00000004-9C85-4C0C-BE9F-9E1A82C0ABFD}"/>
            </c:ext>
          </c:extLst>
        </c:ser>
        <c:ser>
          <c:idx val="5"/>
          <c:order val="5"/>
          <c:tx>
            <c:strRef>
              <c:f>'By therapy area'!$A$197</c:f>
              <c:strCache>
                <c:ptCount val="1"/>
                <c:pt idx="0">
                  <c:v>Respiratory</c:v>
                </c:pt>
              </c:strCache>
            </c:strRef>
          </c:tx>
          <c:spPr>
            <a:solidFill>
              <a:schemeClr val="accent6"/>
            </a:solidFill>
            <a:ln>
              <a:noFill/>
            </a:ln>
            <a:effectLst/>
          </c:spPr>
          <c:invertIfNegative val="0"/>
          <c:cat>
            <c:strRef>
              <c:f>'By therapy area'!$B$191:$I$191</c:f>
              <c:strCache>
                <c:ptCount val="8"/>
                <c:pt idx="0">
                  <c:v>2015</c:v>
                </c:pt>
                <c:pt idx="1">
                  <c:v>2016</c:v>
                </c:pt>
                <c:pt idx="2">
                  <c:v>2017</c:v>
                </c:pt>
                <c:pt idx="3">
                  <c:v>2018</c:v>
                </c:pt>
                <c:pt idx="4">
                  <c:v>2019</c:v>
                </c:pt>
                <c:pt idx="5">
                  <c:v>2020</c:v>
                </c:pt>
                <c:pt idx="6">
                  <c:v>2021</c:v>
                </c:pt>
                <c:pt idx="7">
                  <c:v>Total</c:v>
                </c:pt>
              </c:strCache>
            </c:strRef>
          </c:cat>
          <c:val>
            <c:numRef>
              <c:f>'By therapy area'!$B$197:$I$197</c:f>
              <c:numCache>
                <c:formatCode>General</c:formatCode>
                <c:ptCount val="8"/>
                <c:pt idx="0">
                  <c:v>0</c:v>
                </c:pt>
                <c:pt idx="1">
                  <c:v>0</c:v>
                </c:pt>
                <c:pt idx="2">
                  <c:v>2</c:v>
                </c:pt>
                <c:pt idx="3">
                  <c:v>0</c:v>
                </c:pt>
                <c:pt idx="4">
                  <c:v>0</c:v>
                </c:pt>
                <c:pt idx="5">
                  <c:v>0</c:v>
                </c:pt>
                <c:pt idx="6">
                  <c:v>0</c:v>
                </c:pt>
                <c:pt idx="7">
                  <c:v>2</c:v>
                </c:pt>
              </c:numCache>
            </c:numRef>
          </c:val>
          <c:extLst>
            <c:ext xmlns:c16="http://schemas.microsoft.com/office/drawing/2014/chart" uri="{C3380CC4-5D6E-409C-BE32-E72D297353CC}">
              <c16:uniqueId val="{00000005-9C85-4C0C-BE9F-9E1A82C0ABFD}"/>
            </c:ext>
          </c:extLst>
        </c:ser>
        <c:ser>
          <c:idx val="6"/>
          <c:order val="6"/>
          <c:tx>
            <c:strRef>
              <c:f>'By therapy area'!$A$198</c:f>
              <c:strCache>
                <c:ptCount val="1"/>
                <c:pt idx="0">
                  <c:v>Central nervous system</c:v>
                </c:pt>
              </c:strCache>
            </c:strRef>
          </c:tx>
          <c:spPr>
            <a:solidFill>
              <a:schemeClr val="accent1">
                <a:lumMod val="60000"/>
              </a:schemeClr>
            </a:solidFill>
            <a:ln>
              <a:noFill/>
            </a:ln>
            <a:effectLst/>
          </c:spPr>
          <c:invertIfNegative val="0"/>
          <c:cat>
            <c:strRef>
              <c:f>'By therapy area'!$B$191:$I$191</c:f>
              <c:strCache>
                <c:ptCount val="8"/>
                <c:pt idx="0">
                  <c:v>2015</c:v>
                </c:pt>
                <c:pt idx="1">
                  <c:v>2016</c:v>
                </c:pt>
                <c:pt idx="2">
                  <c:v>2017</c:v>
                </c:pt>
                <c:pt idx="3">
                  <c:v>2018</c:v>
                </c:pt>
                <c:pt idx="4">
                  <c:v>2019</c:v>
                </c:pt>
                <c:pt idx="5">
                  <c:v>2020</c:v>
                </c:pt>
                <c:pt idx="6">
                  <c:v>2021</c:v>
                </c:pt>
                <c:pt idx="7">
                  <c:v>Total</c:v>
                </c:pt>
              </c:strCache>
            </c:strRef>
          </c:cat>
          <c:val>
            <c:numRef>
              <c:f>'By therapy area'!$B$198:$I$198</c:f>
              <c:numCache>
                <c:formatCode>General</c:formatCode>
                <c:ptCount val="8"/>
                <c:pt idx="0">
                  <c:v>0</c:v>
                </c:pt>
                <c:pt idx="1">
                  <c:v>0</c:v>
                </c:pt>
                <c:pt idx="2">
                  <c:v>0</c:v>
                </c:pt>
                <c:pt idx="3">
                  <c:v>1</c:v>
                </c:pt>
                <c:pt idx="4">
                  <c:v>1</c:v>
                </c:pt>
                <c:pt idx="5">
                  <c:v>0</c:v>
                </c:pt>
                <c:pt idx="6">
                  <c:v>0</c:v>
                </c:pt>
                <c:pt idx="7">
                  <c:v>2</c:v>
                </c:pt>
              </c:numCache>
            </c:numRef>
          </c:val>
          <c:extLst>
            <c:ext xmlns:c16="http://schemas.microsoft.com/office/drawing/2014/chart" uri="{C3380CC4-5D6E-409C-BE32-E72D297353CC}">
              <c16:uniqueId val="{00000006-9C85-4C0C-BE9F-9E1A82C0ABFD}"/>
            </c:ext>
          </c:extLst>
        </c:ser>
        <c:ser>
          <c:idx val="7"/>
          <c:order val="7"/>
          <c:tx>
            <c:strRef>
              <c:f>'By therapy area'!$A$199</c:f>
              <c:strCache>
                <c:ptCount val="1"/>
                <c:pt idx="0">
                  <c:v>Infectious diseases</c:v>
                </c:pt>
              </c:strCache>
            </c:strRef>
          </c:tx>
          <c:spPr>
            <a:solidFill>
              <a:schemeClr val="accent2">
                <a:lumMod val="60000"/>
              </a:schemeClr>
            </a:solidFill>
            <a:ln>
              <a:noFill/>
            </a:ln>
            <a:effectLst/>
          </c:spPr>
          <c:invertIfNegative val="0"/>
          <c:cat>
            <c:strRef>
              <c:f>'By therapy area'!$B$191:$I$191</c:f>
              <c:strCache>
                <c:ptCount val="8"/>
                <c:pt idx="0">
                  <c:v>2015</c:v>
                </c:pt>
                <c:pt idx="1">
                  <c:v>2016</c:v>
                </c:pt>
                <c:pt idx="2">
                  <c:v>2017</c:v>
                </c:pt>
                <c:pt idx="3">
                  <c:v>2018</c:v>
                </c:pt>
                <c:pt idx="4">
                  <c:v>2019</c:v>
                </c:pt>
                <c:pt idx="5">
                  <c:v>2020</c:v>
                </c:pt>
                <c:pt idx="6">
                  <c:v>2021</c:v>
                </c:pt>
                <c:pt idx="7">
                  <c:v>Total</c:v>
                </c:pt>
              </c:strCache>
            </c:strRef>
          </c:cat>
          <c:val>
            <c:numRef>
              <c:f>'By therapy area'!$B$199:$I$199</c:f>
              <c:numCache>
                <c:formatCode>General</c:formatCode>
                <c:ptCount val="8"/>
                <c:pt idx="0">
                  <c:v>0</c:v>
                </c:pt>
                <c:pt idx="1">
                  <c:v>0</c:v>
                </c:pt>
                <c:pt idx="2">
                  <c:v>0</c:v>
                </c:pt>
                <c:pt idx="3">
                  <c:v>1</c:v>
                </c:pt>
                <c:pt idx="4">
                  <c:v>1</c:v>
                </c:pt>
                <c:pt idx="5">
                  <c:v>0</c:v>
                </c:pt>
                <c:pt idx="6">
                  <c:v>1</c:v>
                </c:pt>
                <c:pt idx="7">
                  <c:v>3</c:v>
                </c:pt>
              </c:numCache>
            </c:numRef>
          </c:val>
          <c:extLst>
            <c:ext xmlns:c16="http://schemas.microsoft.com/office/drawing/2014/chart" uri="{C3380CC4-5D6E-409C-BE32-E72D297353CC}">
              <c16:uniqueId val="{00000007-9C85-4C0C-BE9F-9E1A82C0ABFD}"/>
            </c:ext>
          </c:extLst>
        </c:ser>
        <c:ser>
          <c:idx val="8"/>
          <c:order val="8"/>
          <c:tx>
            <c:strRef>
              <c:f>'By therapy area'!$A$208</c:f>
              <c:strCache>
                <c:ptCount val="1"/>
                <c:pt idx="0">
                  <c:v>0</c:v>
                </c:pt>
              </c:strCache>
            </c:strRef>
          </c:tx>
          <c:spPr>
            <a:solidFill>
              <a:schemeClr val="accent3">
                <a:lumMod val="60000"/>
              </a:schemeClr>
            </a:solidFill>
            <a:ln>
              <a:noFill/>
            </a:ln>
            <a:effectLst/>
          </c:spPr>
          <c:invertIfNegative val="0"/>
          <c:cat>
            <c:strRef>
              <c:f>'By therapy area'!$B$191:$I$191</c:f>
              <c:strCache>
                <c:ptCount val="8"/>
                <c:pt idx="0">
                  <c:v>2015</c:v>
                </c:pt>
                <c:pt idx="1">
                  <c:v>2016</c:v>
                </c:pt>
                <c:pt idx="2">
                  <c:v>2017</c:v>
                </c:pt>
                <c:pt idx="3">
                  <c:v>2018</c:v>
                </c:pt>
                <c:pt idx="4">
                  <c:v>2019</c:v>
                </c:pt>
                <c:pt idx="5">
                  <c:v>2020</c:v>
                </c:pt>
                <c:pt idx="6">
                  <c:v>2021</c:v>
                </c:pt>
                <c:pt idx="7">
                  <c:v>Total</c:v>
                </c:pt>
              </c:strCache>
            </c:strRef>
          </c:cat>
          <c:val>
            <c:numRef>
              <c:f>'By therapy area'!$B$208:$I$208</c:f>
            </c:numRef>
          </c:val>
          <c:extLst>
            <c:ext xmlns:c16="http://schemas.microsoft.com/office/drawing/2014/chart" uri="{C3380CC4-5D6E-409C-BE32-E72D297353CC}">
              <c16:uniqueId val="{00000002-73D7-4D40-8635-5C3B3E35EC26}"/>
            </c:ext>
          </c:extLst>
        </c:ser>
        <c:dLbls>
          <c:showLegendKey val="0"/>
          <c:showVal val="0"/>
          <c:showCatName val="0"/>
          <c:showSerName val="0"/>
          <c:showPercent val="0"/>
          <c:showBubbleSize val="0"/>
        </c:dLbls>
        <c:gapWidth val="150"/>
        <c:overlap val="100"/>
        <c:axId val="685136048"/>
        <c:axId val="685139000"/>
      </c:barChart>
      <c:catAx>
        <c:axId val="68513604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139000"/>
        <c:crosses val="autoZero"/>
        <c:auto val="1"/>
        <c:lblAlgn val="ctr"/>
        <c:lblOffset val="100"/>
        <c:noMultiLvlLbl val="1"/>
      </c:catAx>
      <c:valAx>
        <c:axId val="6851390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1360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tx>
            <c:strRef>
              <c:f>'By therapy area'!$I$144</c:f>
              <c:strCache>
                <c:ptCount val="1"/>
                <c:pt idx="0">
                  <c:v>Percentage</c:v>
                </c:pt>
              </c:strCache>
            </c:strRef>
          </c:tx>
          <c:spPr>
            <a:ln w="88900" cap="flat" cmpd="sng"/>
          </c:spPr>
          <c:dPt>
            <c:idx val="0"/>
            <c:bubble3D val="0"/>
            <c:spPr>
              <a:solidFill>
                <a:schemeClr val="accent1"/>
              </a:solidFill>
              <a:ln w="88900" cap="flat" cmpd="sng">
                <a:solidFill>
                  <a:schemeClr val="lt1"/>
                </a:solidFill>
              </a:ln>
              <a:effectLst/>
            </c:spPr>
            <c:extLst>
              <c:ext xmlns:c16="http://schemas.microsoft.com/office/drawing/2014/chart" uri="{C3380CC4-5D6E-409C-BE32-E72D297353CC}">
                <c16:uniqueId val="{00000001-DE8C-420F-B289-A61EC7DA98B2}"/>
              </c:ext>
            </c:extLst>
          </c:dPt>
          <c:dPt>
            <c:idx val="1"/>
            <c:bubble3D val="0"/>
            <c:spPr>
              <a:solidFill>
                <a:schemeClr val="accent2"/>
              </a:solidFill>
              <a:ln w="88900" cap="flat" cmpd="sng">
                <a:solidFill>
                  <a:schemeClr val="lt1"/>
                </a:solidFill>
              </a:ln>
              <a:effectLst/>
            </c:spPr>
            <c:extLst>
              <c:ext xmlns:c16="http://schemas.microsoft.com/office/drawing/2014/chart" uri="{C3380CC4-5D6E-409C-BE32-E72D297353CC}">
                <c16:uniqueId val="{00000003-DE8C-420F-B289-A61EC7DA98B2}"/>
              </c:ext>
            </c:extLst>
          </c:dPt>
          <c:dPt>
            <c:idx val="2"/>
            <c:bubble3D val="0"/>
            <c:spPr>
              <a:solidFill>
                <a:schemeClr val="accent3"/>
              </a:solidFill>
              <a:ln w="88900" cap="flat" cmpd="sng">
                <a:solidFill>
                  <a:schemeClr val="lt1"/>
                </a:solidFill>
              </a:ln>
              <a:effectLst/>
            </c:spPr>
            <c:extLst>
              <c:ext xmlns:c16="http://schemas.microsoft.com/office/drawing/2014/chart" uri="{C3380CC4-5D6E-409C-BE32-E72D297353CC}">
                <c16:uniqueId val="{00000005-DE8C-420F-B289-A61EC7DA98B2}"/>
              </c:ext>
            </c:extLst>
          </c:dPt>
          <c:dPt>
            <c:idx val="3"/>
            <c:bubble3D val="0"/>
            <c:spPr>
              <a:solidFill>
                <a:schemeClr val="accent4"/>
              </a:solidFill>
              <a:ln w="88900" cap="flat" cmpd="sng">
                <a:solidFill>
                  <a:schemeClr val="lt1"/>
                </a:solidFill>
              </a:ln>
              <a:effectLst/>
            </c:spPr>
            <c:extLst>
              <c:ext xmlns:c16="http://schemas.microsoft.com/office/drawing/2014/chart" uri="{C3380CC4-5D6E-409C-BE32-E72D297353CC}">
                <c16:uniqueId val="{00000007-DE8C-420F-B289-A61EC7DA98B2}"/>
              </c:ext>
            </c:extLst>
          </c:dPt>
          <c:dPt>
            <c:idx val="4"/>
            <c:bubble3D val="0"/>
            <c:spPr>
              <a:solidFill>
                <a:schemeClr val="accent5"/>
              </a:solidFill>
              <a:ln w="88900" cap="flat" cmpd="sng">
                <a:solidFill>
                  <a:schemeClr val="lt1"/>
                </a:solidFill>
              </a:ln>
              <a:effectLst/>
            </c:spPr>
            <c:extLst>
              <c:ext xmlns:c16="http://schemas.microsoft.com/office/drawing/2014/chart" uri="{C3380CC4-5D6E-409C-BE32-E72D297353CC}">
                <c16:uniqueId val="{00000009-DE8C-420F-B289-A61EC7DA98B2}"/>
              </c:ext>
            </c:extLst>
          </c:dPt>
          <c:dLbls>
            <c:dLbl>
              <c:idx val="0"/>
              <c:layout>
                <c:manualLayout>
                  <c:x val="0.11276168671330346"/>
                  <c:y val="-4.974670002904811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E8C-420F-B289-A61EC7DA98B2}"/>
                </c:ext>
              </c:extLst>
            </c:dLbl>
            <c:dLbl>
              <c:idx val="1"/>
              <c:layout>
                <c:manualLayout>
                  <c:x val="0.16520903448038046"/>
                  <c:y val="7.8547421098496065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E8C-420F-B289-A61EC7DA98B2}"/>
                </c:ext>
              </c:extLst>
            </c:dLbl>
            <c:dLbl>
              <c:idx val="2"/>
              <c:layout>
                <c:manualLayout>
                  <c:x val="-9.1782768255014496E-2"/>
                  <c:y val="9.68751526881461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E8C-420F-B289-A61EC7DA98B2}"/>
                </c:ext>
              </c:extLst>
            </c:dLbl>
            <c:dLbl>
              <c:idx val="3"/>
              <c:layout>
                <c:manualLayout>
                  <c:x val="-0.10227222748415898"/>
                  <c:y val="1.832773158964925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E8C-420F-B289-A61EC7DA98B2}"/>
                </c:ext>
              </c:extLst>
            </c:dLbl>
            <c:dLbl>
              <c:idx val="4"/>
              <c:layout>
                <c:manualLayout>
                  <c:x val="-5.6380843356651777E-2"/>
                  <c:y val="-7.59291737285471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E8C-420F-B289-A61EC7DA98B2}"/>
                </c:ext>
              </c:extLst>
            </c:dLbl>
            <c:spPr>
              <a:noFill/>
              <a:ln>
                <a:solidFill>
                  <a:sysClr val="windowText" lastClr="000000">
                    <a:lumMod val="15000"/>
                    <a:lumOff val="85000"/>
                  </a:sysClr>
                </a:solid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'By therapy area'!$A$145:$A$149</c:f>
              <c:strCache>
                <c:ptCount val="5"/>
                <c:pt idx="0">
                  <c:v>Dermatology</c:v>
                </c:pt>
                <c:pt idx="1">
                  <c:v>Haemato-oncology</c:v>
                </c:pt>
                <c:pt idx="2">
                  <c:v>Nephrology</c:v>
                </c:pt>
                <c:pt idx="3">
                  <c:v>Oncology</c:v>
                </c:pt>
                <c:pt idx="4">
                  <c:v>Various </c:v>
                </c:pt>
              </c:strCache>
            </c:strRef>
          </c:cat>
          <c:val>
            <c:numRef>
              <c:f>'By therapy area'!$I$145:$I$149</c:f>
              <c:numCache>
                <c:formatCode>0.00%</c:formatCode>
                <c:ptCount val="5"/>
                <c:pt idx="0">
                  <c:v>0.2857142857142857</c:v>
                </c:pt>
                <c:pt idx="1">
                  <c:v>0.2857142857142857</c:v>
                </c:pt>
                <c:pt idx="2">
                  <c:v>7.1428571428571425E-2</c:v>
                </c:pt>
                <c:pt idx="3">
                  <c:v>0.2857142857142857</c:v>
                </c:pt>
                <c:pt idx="4">
                  <c:v>7.1428571428571425E-2</c:v>
                </c:pt>
              </c:numCache>
            </c:numRef>
          </c:val>
          <c:extLst>
            <c:ext xmlns:c16="http://schemas.microsoft.com/office/drawing/2014/chart" uri="{C3380CC4-5D6E-409C-BE32-E72D297353CC}">
              <c16:uniqueId val="{00000000-01D6-4015-9541-32A6D2076989}"/>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762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20408</xdr:colOff>
      <xdr:row>18</xdr:row>
      <xdr:rowOff>172809</xdr:rowOff>
    </xdr:from>
    <xdr:to>
      <xdr:col>11</xdr:col>
      <xdr:colOff>1015</xdr:colOff>
      <xdr:row>41</xdr:row>
      <xdr:rowOff>147309</xdr:rowOff>
    </xdr:to>
    <xdr:graphicFrame macro="">
      <xdr:nvGraphicFramePr>
        <xdr:cNvPr id="4" name="Chart 3">
          <a:extLst>
            <a:ext uri="{FF2B5EF4-FFF2-40B4-BE49-F238E27FC236}">
              <a16:creationId xmlns:a16="http://schemas.microsoft.com/office/drawing/2014/main" id="{FFFF998D-3FC0-4255-BBF1-08495E68E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107</xdr:row>
      <xdr:rowOff>145595</xdr:rowOff>
    </xdr:from>
    <xdr:to>
      <xdr:col>8</xdr:col>
      <xdr:colOff>598713</xdr:colOff>
      <xdr:row>129</xdr:row>
      <xdr:rowOff>176892</xdr:rowOff>
    </xdr:to>
    <xdr:graphicFrame macro="">
      <xdr:nvGraphicFramePr>
        <xdr:cNvPr id="8" name="Chart 7">
          <a:extLst>
            <a:ext uri="{FF2B5EF4-FFF2-40B4-BE49-F238E27FC236}">
              <a16:creationId xmlns:a16="http://schemas.microsoft.com/office/drawing/2014/main" id="{0DCEC635-8F6F-413B-9159-F1B1FDC07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54428</xdr:colOff>
      <xdr:row>173</xdr:row>
      <xdr:rowOff>13333</xdr:rowOff>
    </xdr:from>
    <xdr:to>
      <xdr:col>13</xdr:col>
      <xdr:colOff>1381125</xdr:colOff>
      <xdr:row>205</xdr:row>
      <xdr:rowOff>169000</xdr:rowOff>
    </xdr:to>
    <xdr:graphicFrame macro="">
      <xdr:nvGraphicFramePr>
        <xdr:cNvPr id="9" name="Chart 8">
          <a:extLst>
            <a:ext uri="{FF2B5EF4-FFF2-40B4-BE49-F238E27FC236}">
              <a16:creationId xmlns:a16="http://schemas.microsoft.com/office/drawing/2014/main" id="{24C5C80D-5F30-4A8F-BA80-BA92B2026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127000</xdr:colOff>
      <xdr:row>67</xdr:row>
      <xdr:rowOff>17462</xdr:rowOff>
    </xdr:from>
    <xdr:to>
      <xdr:col>11</xdr:col>
      <xdr:colOff>587375</xdr:colOff>
      <xdr:row>86</xdr:row>
      <xdr:rowOff>158750</xdr:rowOff>
    </xdr:to>
    <xdr:graphicFrame macro="">
      <xdr:nvGraphicFramePr>
        <xdr:cNvPr id="2" name="Chart 1">
          <a:extLst>
            <a:ext uri="{FF2B5EF4-FFF2-40B4-BE49-F238E27FC236}">
              <a16:creationId xmlns:a16="http://schemas.microsoft.com/office/drawing/2014/main" id="{8EA4EE85-E6BA-4671-8BE9-C7EB55C7A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18761</xdr:colOff>
      <xdr:row>40</xdr:row>
      <xdr:rowOff>68311</xdr:rowOff>
    </xdr:from>
    <xdr:to>
      <xdr:col>12</xdr:col>
      <xdr:colOff>1529772</xdr:colOff>
      <xdr:row>67</xdr:row>
      <xdr:rowOff>173182</xdr:rowOff>
    </xdr:to>
    <xdr:graphicFrame macro="">
      <xdr:nvGraphicFramePr>
        <xdr:cNvPr id="3" name="Chart 2">
          <a:extLst>
            <a:ext uri="{FF2B5EF4-FFF2-40B4-BE49-F238E27FC236}">
              <a16:creationId xmlns:a16="http://schemas.microsoft.com/office/drawing/2014/main" id="{4AC9B0F3-8120-4D52-8A63-2E6AE44A8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427162</xdr:colOff>
      <xdr:row>53</xdr:row>
      <xdr:rowOff>12862</xdr:rowOff>
    </xdr:from>
    <xdr:to>
      <xdr:col>7</xdr:col>
      <xdr:colOff>540475</xdr:colOff>
      <xdr:row>55</xdr:row>
      <xdr:rowOff>13607</xdr:rowOff>
    </xdr:to>
    <xdr:sp macro="" textlink="">
      <xdr:nvSpPr>
        <xdr:cNvPr id="13" name="TextBox 12">
          <a:extLst>
            <a:ext uri="{FF2B5EF4-FFF2-40B4-BE49-F238E27FC236}">
              <a16:creationId xmlns:a16="http://schemas.microsoft.com/office/drawing/2014/main" id="{343B62ED-5389-4F00-B1CB-40344D254AAA}"/>
            </a:ext>
          </a:extLst>
        </xdr:cNvPr>
        <xdr:cNvSpPr txBox="1"/>
      </xdr:nvSpPr>
      <xdr:spPr>
        <a:xfrm>
          <a:off x="6876948" y="8830291"/>
          <a:ext cx="1855027" cy="35453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ts val="2000"/>
            </a:lnSpc>
            <a:spcBef>
              <a:spcPts val="0"/>
            </a:spcBef>
            <a:spcAft>
              <a:spcPts val="0"/>
            </a:spcAft>
            <a:buClrTx/>
            <a:buSzTx/>
            <a:buFontTx/>
            <a:buNone/>
            <a:tabLst/>
            <a:defRPr/>
          </a:pPr>
          <a:r>
            <a:rPr kumimoji="0" lang="en-US" sz="5400" b="1" i="0" u="none" strike="noStrike" kern="1200" cap="none" spc="0" normalizeH="0" baseline="0" noProof="0">
              <a:ln>
                <a:noFill/>
              </a:ln>
              <a:solidFill>
                <a:srgbClr val="606B71"/>
              </a:solidFill>
              <a:effectLst/>
              <a:uLnTx/>
              <a:uFillTx/>
              <a:latin typeface="Calibri" panose="020F0502020204030204"/>
              <a:ea typeface="+mn-ea"/>
              <a:cs typeface="+mn-cs"/>
            </a:rPr>
            <a:t>HTA</a:t>
          </a:r>
        </a:p>
      </xdr:txBody>
    </xdr:sp>
    <xdr:clientData/>
  </xdr:twoCellAnchor>
  <xdr:twoCellAnchor>
    <xdr:from>
      <xdr:col>0</xdr:col>
      <xdr:colOff>2381</xdr:colOff>
      <xdr:row>108</xdr:row>
      <xdr:rowOff>166686</xdr:rowOff>
    </xdr:from>
    <xdr:to>
      <xdr:col>13</xdr:col>
      <xdr:colOff>11906</xdr:colOff>
      <xdr:row>134</xdr:row>
      <xdr:rowOff>11905</xdr:rowOff>
    </xdr:to>
    <xdr:graphicFrame macro="">
      <xdr:nvGraphicFramePr>
        <xdr:cNvPr id="14" name="Chart 13">
          <a:extLst>
            <a:ext uri="{FF2B5EF4-FFF2-40B4-BE49-F238E27FC236}">
              <a16:creationId xmlns:a16="http://schemas.microsoft.com/office/drawing/2014/main" id="{B5F88BCA-FE2A-492A-AF18-98DB59DEB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10582</xdr:colOff>
      <xdr:row>211</xdr:row>
      <xdr:rowOff>10848</xdr:rowOff>
    </xdr:from>
    <xdr:to>
      <xdr:col>13</xdr:col>
      <xdr:colOff>35719</xdr:colOff>
      <xdr:row>236</xdr:row>
      <xdr:rowOff>190499</xdr:rowOff>
    </xdr:to>
    <xdr:graphicFrame macro="">
      <xdr:nvGraphicFramePr>
        <xdr:cNvPr id="17" name="Chart 16">
          <a:extLst>
            <a:ext uri="{FF2B5EF4-FFF2-40B4-BE49-F238E27FC236}">
              <a16:creationId xmlns:a16="http://schemas.microsoft.com/office/drawing/2014/main" id="{1A6D2A07-58F1-4B1A-82E5-882E31AE7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156</xdr:row>
      <xdr:rowOff>3365</xdr:rowOff>
    </xdr:from>
    <xdr:to>
      <xdr:col>11</xdr:col>
      <xdr:colOff>741997</xdr:colOff>
      <xdr:row>181</xdr:row>
      <xdr:rowOff>154781</xdr:rowOff>
    </xdr:to>
    <xdr:graphicFrame macro="">
      <xdr:nvGraphicFramePr>
        <xdr:cNvPr id="25" name="Chart 24">
          <a:extLst>
            <a:ext uri="{FF2B5EF4-FFF2-40B4-BE49-F238E27FC236}">
              <a16:creationId xmlns:a16="http://schemas.microsoft.com/office/drawing/2014/main" id="{63B11803-0B28-44BF-B644-3FB27054B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663866</xdr:colOff>
      <xdr:row>165</xdr:row>
      <xdr:rowOff>91440</xdr:rowOff>
    </xdr:from>
    <xdr:to>
      <xdr:col>7</xdr:col>
      <xdr:colOff>599763</xdr:colOff>
      <xdr:row>171</xdr:row>
      <xdr:rowOff>176892</xdr:rowOff>
    </xdr:to>
    <xdr:sp macro="" textlink="">
      <xdr:nvSpPr>
        <xdr:cNvPr id="9" name="TextBox 8">
          <a:extLst>
            <a:ext uri="{FF2B5EF4-FFF2-40B4-BE49-F238E27FC236}">
              <a16:creationId xmlns:a16="http://schemas.microsoft.com/office/drawing/2014/main" id="{5EA5F98E-6130-4E69-A839-31E036AABC8A}"/>
            </a:ext>
          </a:extLst>
        </xdr:cNvPr>
        <xdr:cNvSpPr txBox="1"/>
      </xdr:nvSpPr>
      <xdr:spPr>
        <a:xfrm>
          <a:off x="4501080" y="27455404"/>
          <a:ext cx="4290183" cy="114680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ts val="2000"/>
            </a:lnSpc>
            <a:spcBef>
              <a:spcPts val="0"/>
            </a:spcBef>
            <a:spcAft>
              <a:spcPts val="0"/>
            </a:spcAft>
            <a:buClrTx/>
            <a:buSzTx/>
            <a:buFontTx/>
            <a:buNone/>
            <a:tabLst/>
            <a:defRPr/>
          </a:pPr>
          <a:r>
            <a:rPr kumimoji="0" lang="en-US" sz="5400" b="1" i="0" u="none" strike="noStrike" kern="1200" cap="none" spc="0" normalizeH="0" baseline="0" noProof="0">
              <a:ln>
                <a:noFill/>
              </a:ln>
              <a:solidFill>
                <a:srgbClr val="606B71"/>
              </a:solidFill>
              <a:effectLst/>
              <a:uLnTx/>
              <a:uFillTx/>
              <a:latin typeface="Calibri" panose="020F0502020204030204"/>
              <a:ea typeface="+mn-ea"/>
              <a:cs typeface="+mn-cs"/>
            </a:rPr>
            <a:t>Early</a:t>
          </a:r>
        </a:p>
        <a:p>
          <a:pPr marL="0" marR="0" lvl="0" indent="0" algn="ctr" defTabSz="914400" rtl="0" eaLnBrk="1" fontAlgn="auto" latinLnBrk="0" hangingPunct="1">
            <a:lnSpc>
              <a:spcPts val="2000"/>
            </a:lnSpc>
            <a:spcBef>
              <a:spcPts val="0"/>
            </a:spcBef>
            <a:spcAft>
              <a:spcPts val="0"/>
            </a:spcAft>
            <a:buClrTx/>
            <a:buSzTx/>
            <a:buFontTx/>
            <a:buNone/>
            <a:tabLst/>
            <a:defRPr/>
          </a:pPr>
          <a:endParaRPr kumimoji="0" lang="en-US" sz="5400" b="1" i="0" u="none" strike="noStrike" kern="1200" cap="none" spc="0" normalizeH="0" baseline="0" noProof="0">
            <a:ln>
              <a:noFill/>
            </a:ln>
            <a:solidFill>
              <a:srgbClr val="606B71"/>
            </a:solidFill>
            <a:effectLst/>
            <a:uLnTx/>
            <a:uFillTx/>
            <a:latin typeface="Calibri" panose="020F0502020204030204"/>
            <a:ea typeface="+mn-ea"/>
            <a:cs typeface="+mn-cs"/>
          </a:endParaRPr>
        </a:p>
        <a:p>
          <a:pPr marL="0" marR="0" lvl="0" indent="0" algn="ctr" defTabSz="914400" rtl="0" eaLnBrk="1" fontAlgn="auto" latinLnBrk="0" hangingPunct="1">
            <a:lnSpc>
              <a:spcPts val="2000"/>
            </a:lnSpc>
            <a:spcBef>
              <a:spcPts val="0"/>
            </a:spcBef>
            <a:spcAft>
              <a:spcPts val="0"/>
            </a:spcAft>
            <a:buClrTx/>
            <a:buSzTx/>
            <a:buFontTx/>
            <a:buNone/>
            <a:tabLst/>
            <a:defRPr/>
          </a:pPr>
          <a:r>
            <a:rPr kumimoji="0" lang="en-US" sz="5400" b="1" i="0" u="none" strike="noStrike" kern="1200" cap="none" spc="0" normalizeH="0" baseline="0" noProof="0">
              <a:ln>
                <a:noFill/>
              </a:ln>
              <a:solidFill>
                <a:srgbClr val="606B71"/>
              </a:solidFill>
              <a:effectLst/>
              <a:uLnTx/>
              <a:uFillTx/>
              <a:latin typeface="Calibri" panose="020F0502020204030204"/>
              <a:ea typeface="+mn-ea"/>
              <a:cs typeface="+mn-cs"/>
            </a:rPr>
            <a:t> Scientific</a:t>
          </a:r>
        </a:p>
        <a:p>
          <a:pPr marL="0" marR="0" lvl="0" indent="0" algn="ctr" defTabSz="914400" rtl="0" eaLnBrk="1" fontAlgn="auto" latinLnBrk="0" hangingPunct="1">
            <a:lnSpc>
              <a:spcPts val="2000"/>
            </a:lnSpc>
            <a:spcBef>
              <a:spcPts val="0"/>
            </a:spcBef>
            <a:spcAft>
              <a:spcPts val="0"/>
            </a:spcAft>
            <a:buClrTx/>
            <a:buSzTx/>
            <a:buFontTx/>
            <a:buNone/>
            <a:tabLst/>
            <a:defRPr/>
          </a:pPr>
          <a:r>
            <a:rPr kumimoji="0" lang="en-US" sz="5400" b="1" i="0" u="none" strike="noStrike" kern="1200" cap="none" spc="0" normalizeH="0" baseline="0" noProof="0">
              <a:ln>
                <a:noFill/>
              </a:ln>
              <a:solidFill>
                <a:srgbClr val="606B71"/>
              </a:solidFill>
              <a:effectLst/>
              <a:uLnTx/>
              <a:uFillTx/>
              <a:latin typeface="Calibri" panose="020F0502020204030204"/>
              <a:ea typeface="+mn-ea"/>
              <a:cs typeface="+mn-cs"/>
            </a:rPr>
            <a:t> </a:t>
          </a:r>
        </a:p>
        <a:p>
          <a:pPr marL="0" marR="0" lvl="0" indent="0" algn="ctr" defTabSz="914400" rtl="0" eaLnBrk="1" fontAlgn="auto" latinLnBrk="0" hangingPunct="1">
            <a:lnSpc>
              <a:spcPts val="2000"/>
            </a:lnSpc>
            <a:spcBef>
              <a:spcPts val="0"/>
            </a:spcBef>
            <a:spcAft>
              <a:spcPts val="0"/>
            </a:spcAft>
            <a:buClrTx/>
            <a:buSzTx/>
            <a:buFontTx/>
            <a:buNone/>
            <a:tabLst/>
            <a:defRPr/>
          </a:pPr>
          <a:r>
            <a:rPr kumimoji="0" lang="en-US" sz="5400" b="1" i="0" u="none" strike="noStrike" kern="1200" cap="none" spc="0" normalizeH="0" baseline="0" noProof="0">
              <a:ln>
                <a:noFill/>
              </a:ln>
              <a:solidFill>
                <a:srgbClr val="606B71"/>
              </a:solidFill>
              <a:effectLst/>
              <a:uLnTx/>
              <a:uFillTx/>
              <a:latin typeface="Calibri" panose="020F0502020204030204"/>
              <a:ea typeface="+mn-ea"/>
              <a:cs typeface="+mn-cs"/>
            </a:rPr>
            <a:t>Advice</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EMEA%20Previous%20HTA%20and%20GVD%20experience_list%20for%20countries%20to%20check%20and%20complete_0.2.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ocharidis, Anastasios" refreshedDate="44371.525800694442" createdVersion="6" refreshedVersion="6" minRefreshableVersion="3" recordCount="24" xr:uid="{A06EA927-3CCF-4F43-848F-B6B23C23205B}">
  <cacheSource type="worksheet">
    <worksheetSource name="Table2"/>
  </cacheSource>
  <cacheFields count="4">
    <cacheField name="Therapy area" numFmtId="0">
      <sharedItems/>
    </cacheField>
    <cacheField name="Indication" numFmtId="0">
      <sharedItems count="24">
        <s v="Anticoagulant product in venous thromboembolism "/>
        <s v="Mantle Cell Lymphoma product "/>
        <s v="Acromegaly product "/>
        <s v="Hyperkalemia product "/>
        <s v="DPP-4 / SGLT-2 combination product in T2DM (update)"/>
        <s v="Melanoma"/>
        <s v="Metastatic colorectal cancer product"/>
        <s v="Asthma product "/>
        <s v="Chronic Obstructive Pulmonary Disease product "/>
        <s v="Diabetic peripheral neuropathy/post-herpetic neuralgia product "/>
        <s v="Pseudomonas aeruginosa anti-infective product "/>
        <s v="Digital treatment program for depression "/>
        <s v="GLP-1 agonist product in T2DM "/>
        <s v="Cutaneous melanoma product "/>
        <s v="Non-small cell lung cancer IO product "/>
        <s v="Epilepsy product (update)"/>
        <s v="HIV product "/>
        <s v="Hepatocellular cell carcinoma/renal cell carcinoma product"/>
        <s v="Non Hodgkin Lymphoma"/>
        <s v="Relapsed/refractory AML product "/>
        <s v="Unresectable malignant pleural mesothelioma"/>
        <s v="von Willebrand disease (an inherited bleeding disorder)"/>
        <s v="COVID-19 infection"/>
        <s v="Advanced renal cell carcinoma"/>
      </sharedItems>
    </cacheField>
    <cacheField name="Year" numFmtId="0">
      <sharedItems containsSemiMixedTypes="0" containsString="0" containsNumber="1" containsInteger="1" minValue="2015" maxValue="2021" count="7">
        <n v="2015"/>
        <n v="2016"/>
        <n v="2017"/>
        <n v="2018"/>
        <n v="2019"/>
        <n v="2020"/>
        <n v="2021"/>
      </sharedItems>
    </cacheField>
    <cacheField name="Product"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ocharidis, Anastasios" refreshedDate="44371.525800694442" createdVersion="6" refreshedVersion="6" minRefreshableVersion="3" recordCount="14" xr:uid="{9EFBF783-DFC7-4A3F-B754-472FDDA64FD7}">
  <cacheSource type="worksheet">
    <worksheetSource name="Table1"/>
  </cacheSource>
  <cacheFields count="6">
    <cacheField name="HTA body" numFmtId="0">
      <sharedItems count="7">
        <s v="CADTH"/>
        <s v="G-BA"/>
        <s v="HAS"/>
        <s v="NICE"/>
        <s v="ZIN"/>
        <s v="EUnetHTA"/>
        <s v="Parallel EMA / HTA"/>
      </sharedItems>
    </cacheField>
    <cacheField name="Regulatory body, if included" numFmtId="0">
      <sharedItems/>
    </cacheField>
    <cacheField name="Therapy area" numFmtId="0">
      <sharedItems count="5">
        <s v="Dermatology"/>
        <s v="Haemato-oncology"/>
        <s v="Nephrology"/>
        <s v="Oncology"/>
        <s v="Various "/>
      </sharedItems>
    </cacheField>
    <cacheField name="Indication" numFmtId="0">
      <sharedItems/>
    </cacheField>
    <cacheField name="Year" numFmtId="0">
      <sharedItems containsSemiMixedTypes="0" containsString="0" containsNumber="1" containsInteger="1" minValue="2016" maxValue="2021" count="6">
        <n v="2018"/>
        <n v="2021"/>
        <n v="2020"/>
        <n v="2017"/>
        <n v="2019"/>
        <n v="2016"/>
      </sharedItems>
    </cacheField>
    <cacheField name="Product"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ocharidis, Anastasios" refreshedDate="44371.525800694442" createdVersion="6" refreshedVersion="6" minRefreshableVersion="3" recordCount="549" xr:uid="{82CC70A9-AF13-422D-A86D-5A46B5D8FABC}">
  <cacheSource type="worksheet">
    <worksheetSource ref="A1:K551" sheet="Local HTA submissions" r:id="rId2"/>
  </cacheSource>
  <cacheFields count="11">
    <cacheField name="Number" numFmtId="0">
      <sharedItems containsSemiMixedTypes="0" containsString="0" containsNumber="1" containsInteger="1" minValue="1" maxValue="550"/>
    </cacheField>
    <cacheField name="EMEA team" numFmtId="0">
      <sharedItems count="13">
        <s v="England"/>
        <s v="Scotland"/>
        <s v="Wales"/>
        <s v="Ireland"/>
        <s v="Germany"/>
        <s v="Spain"/>
        <s v="Italy"/>
        <s v="France"/>
        <s v="Portugal"/>
        <s v="Greece"/>
        <s v="Netherlands"/>
        <s v="Czech Republic"/>
        <s v="Slovakia"/>
      </sharedItems>
    </cacheField>
    <cacheField name="HTA body" numFmtId="0">
      <sharedItems count="15">
        <s v="NICE"/>
        <s v="SMC"/>
        <s v="AWMSG"/>
        <s v="NCPE"/>
        <s v="G-BA"/>
        <s v="N/A"/>
        <s v="AIFA"/>
        <s v="CEESP"/>
        <s v="CT"/>
        <s v="INFARMED"/>
        <s v="Greek HTA Committee"/>
        <s v="Zorginstituut Nederland"/>
        <s v="Zorgverzekeraars Nederland"/>
        <s v="SUKL"/>
        <s v="ŠUKL"/>
      </sharedItems>
    </cacheField>
    <cacheField name="Subcategory" numFmtId="0">
      <sharedItems/>
    </cacheField>
    <cacheField name="Therapy area" numFmtId="0">
      <sharedItems count="29">
        <s v="Oncology"/>
        <s v="Blood and immune system"/>
        <s v="Gastroenterology"/>
        <s v="Cardiovascular diseases"/>
        <s v="Respiratory"/>
        <s v="Muscoloskeletal"/>
        <s v="Other/None"/>
        <s v="Metabolic/Endocrine Disorders"/>
        <s v="Dermatology"/>
        <s v="Infectious diseases"/>
        <s v="Ophthalmology"/>
        <s v="Gynacology"/>
        <s v="Digestive system"/>
        <s v="Central nervous system"/>
        <s v="Mental and behavioural disorders"/>
        <s v="Rare Disease"/>
        <s v="Vaccines"/>
        <s v="Urology"/>
        <s v="Neurology"/>
        <s v="Rheumatology"/>
        <s v="Cardiology"/>
        <s v="Rare disease/ Ophthalmology"/>
        <s v="Rare disease/ Rheumatology"/>
        <s v="Dermatology/ Rheumatology"/>
        <s v="Hematology"/>
        <s v="Medical device"/>
        <s v="Surgical operation"/>
        <s v="Psychiatry"/>
        <s v="Haemato-oncology"/>
      </sharedItems>
    </cacheField>
    <cacheField name="Indication" numFmtId="0">
      <sharedItems containsBlank="1" count="221" longText="1">
        <s v="Non metastatic castration refractory prostate cancer (potential resubmission)"/>
        <s v="Metastatic hormone-sensitive prostate cancer "/>
        <s v="Anaemia in CKD"/>
        <s v="Moderate-to-severe ulcerative colitis"/>
        <s v="Oncology - solid tumour"/>
        <s v="Heart failure"/>
        <s v="Cystic fibrosis"/>
        <s v="Moderate-to-severe rheumatoid arthritis"/>
        <s v="Genetic disease"/>
        <s v="Oncology - haemato-oncology"/>
        <s v="Cardiovascular disease"/>
        <s v="Oncology – haemato-oncology"/>
        <s v="Oncology – solid tumour"/>
        <s v="Type 1 diabetes"/>
        <s v="Electrolyte imbalance"/>
        <s v="Metabolic disease"/>
        <s v="Acute myeloid leukaemia"/>
        <s v="Moderate-to-severe plaque psoriasis"/>
        <s v="Prostate cancer (high-risk nmCRPC)"/>
        <s v="Hepatitis C"/>
        <s v="Autologous chrondrocyte implantation"/>
        <s v="3rd Line Metastatic/Unresectable Gastrointestinal Stromal Tumour"/>
        <s v="Metastatic hepatocellular carcinoma"/>
        <s v="Visual impairment due to macular oedema secondary to branch retinal vein occlusion"/>
        <s v="Advanced hepatocellular carcinoma"/>
        <s v="Prostate cancer"/>
        <s v="Treatment of adults with castration-resistant prostate cancer, symptomatic bone metastases and no known visceral metastases."/>
        <s v="Dupuytren's contracture"/>
        <s v="Type 2 diabetes"/>
        <s v="Visual impairment due to diabetic macular oedema"/>
        <s v="Visual impairment caused by macular oedema secondary to central retinal vein occlusion"/>
        <s v="Prostate cancer (chemo-naive mCRPC)"/>
        <s v="Rivaroxaban for the treatment of deep vein thrombosis and prevention of recurrent deep vein thrombosis and pulmonary embolism"/>
        <s v="Wet age-related macular degeneration"/>
        <s v="Diabetic macular edema"/>
        <s v="Prostate cancer (post-chemo mCRPC)"/>
        <s v="Rivaroxaban for treating pulmonary embolism and preventing recurrent venous thromboembolism"/>
        <s v="Rivaroxaban for the prevention of stroke and systemic embolism in people with atrial fibrillation"/>
        <s v="In combination with oral anti-diabetic therapy for the treatment of type 2 diabetes"/>
        <s v="Hypercholesterolemia"/>
        <s v="Type 2 diabetes"/>
        <s v="Acute myeloid leukemia"/>
        <s v="Plaque psoriasis"/>
        <s v="Hyperkalemia"/>
        <s v="Contraception"/>
        <s v="Hepatocellular carcinoma"/>
        <s v="3rd line metastatic GIST"/>
        <s v="Branch retinal vein occlusion"/>
        <s v="Oropharyngeal candidiasis (OPC) in immunocompromised patients "/>
        <s v="Acute bacterial skin and skin structure infections (ABSSSI)"/>
        <s v="Clostridium difficile infections"/>
        <s v="Haematology"/>
        <s v="Hepatic veno-occlusive disease"/>
        <s v="Non metastatic castration refractory prostate cancer "/>
        <s v="Rheumatoid arthritis"/>
        <s v="Parkinson’s disease"/>
        <s v="Hepatitis C (2 indications)"/>
        <s v="Diabetes/endocrine disorders"/>
        <s v="Infections"/>
        <s v="Ocular health"/>
        <s v="Cancer (2 indications)"/>
        <s v="Pulmonary hypertension"/>
        <s v="LDL cholesterol reducer"/>
        <s v="Acute B-cell lymphoblastic leukemia"/>
        <s v="Treatment and prophylaxis of venous thrombosis and pulmonary embolism"/>
        <s v="Non-Small Cell Lung Cancer"/>
        <s v="Epilepsy"/>
        <s v="Type-2-Diabetes"/>
        <s v="Multiple myoloma"/>
        <s v="Breast cancer"/>
        <s v="Alpha-Mannosidose"/>
        <s v="Hemophilia B"/>
        <s v="non-metastatic castration-resistant prostate cancer"/>
        <s v="Sleep disorders"/>
        <s v="Non-hyperkeratotic, non-hypertrophic actinic keratoses"/>
        <s v="ALL and DLBCL"/>
        <s v="Opioid-induced constipation"/>
        <s v="VWF"/>
        <s v="Other"/>
        <s v="Acute Lymphoblastic Leukemia "/>
        <s v="Relapsed and refractory multiple myeloma"/>
        <s v="CAR-T cell therapy"/>
        <s v="Renal cell carcinoma (2L)"/>
        <s v="Medullary thyroid carcinoma"/>
        <s v="Fibrodysplasia ossificans progressiva"/>
        <s v="Follicular lymphoma (1L)"/>
        <s v="Chronic lymphocytic leukemia"/>
        <s v="Refractory follicular lymphoma"/>
        <s v="Multiple myeloma (3L)"/>
        <s v="Antibiotics"/>
        <s v="HIV"/>
        <s v="Risk of cardiovascular events among adults with elevated triglyceride levels"/>
        <s v=" Renal cell carcinoma (1L)"/>
        <s v="Endometrial carcinoma"/>
        <s v="Hairy cell leucemia"/>
        <s v="Renal cell carcinoma (1L)"/>
        <s v="Psoriatic arthritis"/>
        <s v="Depression"/>
        <s v="Mulitiple sclerosis"/>
        <s v="Atopic dermatitis"/>
        <s v="Multiple sclerosis"/>
        <m/>
        <s v="Multiple myeloma"/>
        <s v="Advanced therapy medicinal products (ATMPs)"/>
        <s v="Basal cell carcinoma"/>
        <s v="Multiple myeloma (1L)"/>
        <s v="Multiple myeloma (2L)"/>
        <s v="Acid sphingomyelinase deficiency"/>
        <s v="Infections and inflammations associated with cataract surgery"/>
        <s v="Non-small cell lung cancer (1L)"/>
        <s v="Hepatocellular carcinoma (1L)"/>
        <s v="Covid-19"/>
        <s v="Schizophrenia"/>
        <s v="Chronic hypoparathyroidism"/>
        <s v="HER2 positive metastatic breast cancer"/>
        <s v="Alzheimer’s Disease"/>
        <s v="Anticoagulation. ACODs in DVT and EP"/>
        <s v="Prevention of cardiovascular events"/>
        <s v="Stroke, Traumatic Brain Injury and Cognitive Impairment "/>
        <s v="Chronic lymphocytic leukemia"/>
        <s v="Untreated Hodgkin lymphoma"/>
        <s v="Thrombotic cardiovascular events"/>
        <s v="Asthma"/>
        <s v="Unresectable or Metastatic Melanoma"/>
        <s v="Refractory or Relactive Multiple Myeloma"/>
        <s v="Advanced melanoma"/>
        <s v="Diabetes mellitus type 2"/>
        <s v="Moderate-severe psoriasis"/>
        <s v="Influenza"/>
        <s v="hospital services, pathologies"/>
        <s v="Inlamatory bowel diseases"/>
        <s v="Chronic obstructive pulmonary disease (COPD)"/>
        <s v="Uveitis"/>
        <s v="Castration-resistant prostate cancer"/>
        <s v="Psoriasis"/>
        <s v="Rheumatoid artritis"/>
        <s v="Mild cognitive impairment (MCI)"/>
        <s v="Diabetes mellitus"/>
        <s v="Hidradenitis suppurativa (HS)"/>
        <s v="Prostate cancer (nmCRPC)"/>
        <s v="Primary immunodeficiency syndrome"/>
        <s v="Tetanus prophylaxis wound"/>
        <s v="Sjogren’s Syndrome"/>
        <s v="Mucopolysaccharidosis I"/>
        <s v="Alterations of biligenetic function"/>
        <s v="Primary haemophagocytic lymphohistiocytosis"/>
        <s v="Prostate cancer (mHSPC)"/>
        <s v="Progressive fibrosing interstitial lung disease (PF-ILD)"/>
        <s v="Systemic sclerosis with associated interstitial lung disease (SSc-ILD)"/>
        <s v="Ovarian Cancer"/>
        <s v="Endometrial cancer"/>
        <s v="Bleeding during surgery"/>
        <s v="Acute bacterial skin and skin structure infections (ABSSSI) "/>
        <s v="Bacterial infections"/>
        <s v="Multiple myeloma, lymphoma"/>
        <s v="Hereditary angioedema"/>
        <s v="Thrombocytopenia in patients with chronic liver disease (CLD)"/>
        <s v="Hodgkin Lymphoma"/>
        <s v="Human immunodeficiency virus (HIV)"/>
        <s v="Renal Cell carcinoma"/>
        <s v="Ulcerative colitis"/>
        <s v="Gastric cancer"/>
        <s v="Bladder cancer"/>
        <s v="Mesothelioma"/>
        <s v="Colon cancer"/>
        <s v="Esophageal Cancer"/>
        <s v="Large B-cell lymphoma"/>
        <s v="Diffuse large B-cell lymphoma (DLBCL)"/>
        <s v="Cholangiocarcinoma"/>
        <s v="Congenital hypo-/afibrinogenaemia"/>
        <s v="Rare Disease"/>
        <s v="Female Health"/>
        <s v="Autoimmune biologics"/>
        <s v="Diabetes"/>
        <s v="Pain"/>
        <s v="Antibiotics, Antifungals"/>
        <s v="Growth Hormone"/>
        <s v="Rheumatic disorders"/>
        <s v="Immunomodulators"/>
        <s v="Transplantation"/>
        <s v="Erytropoetine (EPO)"/>
        <s v="HIV, Anti-virals"/>
        <s v="Severe Asthma"/>
        <s v="Melanoma"/>
        <s v="Esophagus"/>
        <s v="NSCLC"/>
        <s v="Non metastatic prostate cancer"/>
        <s v="Chronic coronary artery disease (CAD) and peripheral artery disease (PAD)"/>
        <s v="Myelodysplastic Syndrome"/>
        <s v="Vision loss caused by mutations in both copies of the RPE65 gene and sufficient viable retinal cells"/>
        <s v="Migraine"/>
        <s v="Retinopathy of Prematurity (ROP) in premature infants &amp; Diabetic Retinopathy (DR) in people with diabetic macular edema (DME)"/>
        <s v="Wet age-related macular degeneration (AMD)"/>
        <s v="BRAF Metastatic Melanoma "/>
        <s v="Secondary progressive multiple sclerosis (SPMS)"/>
        <s v="Oral ulcers associated with Behçet’s Disease"/>
        <s v="Heart Failure with reduced Injection Fraction (HFrEF)"/>
        <s v="Prophylaxis of venous thromboembolic disease in moderate and high risk surgical patients, in particular those undergoing orthopaedic or general surgery including cancer surgery._x000a_Prophylaxis of venous thromboembolic disease in medical patients with an acute illness (such as acute heart failure, respiratory insufficiency, severe infections or rheumatic diseases) and reduced mobility at increased risk of venous thromboembolism._x000a_Treatment of deep vein thrombosis (DVT) and pulmonary embolism (PE), excluding PE likely to require thrombolytic therapy or surgery._x000a_Prevention of thrombus formation in extracorporeal circulation during haemodialysis._x000a_Acute coronary syndrome:_x000a_Treatment of unstable angina and Non ST-segment elevation myocardial infarction (NSTEMI), in combination with oral acetylsalicylic acid_x000a_Treatment of acute ST-segment elevation myocardial infarction (STEMI) including patients to be managed medically or with subsequent percutaneous coronary intervention (PCI)."/>
        <s v="Non metastatic castration resistant prostate cancer (nmCRPC)"/>
        <s v="Solid tumours that display a Neurotrophic Tyrosine Receptor Kinase (NTRK) gene fusion"/>
        <s v="Severe thrombocytopenia in adult patients with chronic liver disease (CLD) who are scheduled to undergo an invasive procedure                                                                                                                                                              Chronic immune thrombocytopenic purpura (ITP) in adult patients who have had an insufficient response to a previous treatment"/>
        <s v="Psoriatic Arthritis (PSA)"/>
        <s v="Graft versus Host Disease (GvHD)"/>
        <s v="Stage 1 or 2 polyneuropathy in adult patients with hereditary transthyretin-related amyloidosis (hATTR)"/>
        <s v="Chronic ulcers"/>
        <s v="Bariatric surgery"/>
        <s v="NTRK+ tumours"/>
        <s v="Treatment resistant depression"/>
        <s v="Extended adjuvant treatment of patients with early-stage hormone receptor-positive HER2+ breast cancer and who completed adjuvant trastuzumab-based therapy less than 1 year ago"/>
        <s v="Routine prophylaxis of bleeding episodes in patients with severe haemophilia A (congenital factor VIII deficiency, FVIII &lt; 1%) without factor VIII inhibitors"/>
        <s v="Patients with cystic fibrosis aged 12 years and older with a heterozygous F508del mutation and on the other allele a mutation associated with residual CFTR function"/>
        <s v="Relapsed or refractory diffuse large B cell lymphoma (DLBCL) and primary mediastinal large B cell lymphoma (PMBCL), after two or more lines of systemic therapy"/>
        <s v="Metastatic colorectal cancer with a BRAF V600E mutation, who have received prior systemic therapy"/>
        <s v="Relapsed/refractory diffuse large B-cell lymphoma (DLBCL) who are not candidates for haematopoietic stem cell transplant"/>
        <s v="ROS1+ NSCLC"/>
        <s v="Treatment of cystic fibrosis in patients aged 12 years and older who are homozygous for the F508del mutation in the cystic fibrosis transmembrane conductance regulator (CFTR) gene or heterozygous for F508del in the CFTR gene with a minimal function mutation"/>
        <s v="Relapsed/Refractory Mantle Cell Lymphoma"/>
        <s v="3L+ triple negative breast cancer"/>
        <s v="Spinal muscular atrophy"/>
        <s v="Treatment of cystic fibrosis in patients aged 12 years and older who are heterozygous for F508del in the CFTR gene with a residual function or gating mutation"/>
        <s v="ANCA-associated vasculitis"/>
      </sharedItems>
    </cacheField>
    <cacheField name="Year" numFmtId="0">
      <sharedItems containsString="0" containsBlank="1" containsNumber="1" containsInteger="1" minValue="2012" maxValue="2021" count="11">
        <n v="2021"/>
        <n v="2019"/>
        <n v="2020"/>
        <n v="2018"/>
        <n v="2017"/>
        <n v="2016"/>
        <n v="2015"/>
        <n v="2014"/>
        <n v="2013"/>
        <n v="2012"/>
        <m/>
      </sharedItems>
    </cacheField>
    <cacheField name="End Year" numFmtId="0">
      <sharedItems containsBlank="1" containsMixedTypes="1" containsNumber="1" containsInteger="1" minValue="2012" maxValue="2021"/>
    </cacheField>
    <cacheField name="Scope of IQVIA support" numFmtId="0">
      <sharedItems containsBlank="1"/>
    </cacheField>
    <cacheField name="Outcome" numFmtId="0">
      <sharedItems containsBlank="1"/>
    </cacheField>
    <cacheField name="Product/indica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Haematology"/>
    <x v="0"/>
    <x v="0"/>
    <m/>
  </r>
  <r>
    <s v="Haemato-oncology"/>
    <x v="1"/>
    <x v="0"/>
    <m/>
  </r>
  <r>
    <s v="Metabolic/Endocrine Disorders"/>
    <x v="2"/>
    <x v="0"/>
    <m/>
  </r>
  <r>
    <s v="Cardiorenal/Metabolic"/>
    <x v="3"/>
    <x v="1"/>
    <m/>
  </r>
  <r>
    <s v="Metabolic/Endocrine Disorders"/>
    <x v="4"/>
    <x v="1"/>
    <m/>
  </r>
  <r>
    <s v="Oncology"/>
    <x v="5"/>
    <x v="2"/>
    <s v="Binimetinib + encorafenib"/>
  </r>
  <r>
    <s v="Oncology"/>
    <x v="6"/>
    <x v="2"/>
    <m/>
  </r>
  <r>
    <s v="Respiratory"/>
    <x v="7"/>
    <x v="2"/>
    <m/>
  </r>
  <r>
    <s v="Respiratory"/>
    <x v="8"/>
    <x v="2"/>
    <m/>
  </r>
  <r>
    <s v="Central nervous system"/>
    <x v="9"/>
    <x v="3"/>
    <m/>
  </r>
  <r>
    <s v="Infectious diseases"/>
    <x v="10"/>
    <x v="3"/>
    <m/>
  </r>
  <r>
    <s v="Mental illness"/>
    <x v="11"/>
    <x v="3"/>
    <m/>
  </r>
  <r>
    <s v="Metabolic/Endocrine Disorders"/>
    <x v="12"/>
    <x v="3"/>
    <m/>
  </r>
  <r>
    <s v="Oncology"/>
    <x v="13"/>
    <x v="3"/>
    <m/>
  </r>
  <r>
    <s v="Oncology"/>
    <x v="14"/>
    <x v="3"/>
    <m/>
  </r>
  <r>
    <s v="Central nervous system"/>
    <x v="15"/>
    <x v="4"/>
    <m/>
  </r>
  <r>
    <s v="Infectious diseases"/>
    <x v="16"/>
    <x v="4"/>
    <m/>
  </r>
  <r>
    <s v="Oncology"/>
    <x v="17"/>
    <x v="4"/>
    <m/>
  </r>
  <r>
    <s v="Haemato-oncology"/>
    <x v="18"/>
    <x v="5"/>
    <m/>
  </r>
  <r>
    <s v="Haemato-oncology"/>
    <x v="19"/>
    <x v="5"/>
    <m/>
  </r>
  <r>
    <s v="Oncology"/>
    <x v="20"/>
    <x v="5"/>
    <m/>
  </r>
  <r>
    <s v="Haematology"/>
    <x v="21"/>
    <x v="6"/>
    <s v="Veyvondi"/>
  </r>
  <r>
    <s v="Infectious diseases"/>
    <x v="22"/>
    <x v="6"/>
    <s v="nAB"/>
  </r>
  <r>
    <s v="Oncology"/>
    <x v="23"/>
    <x v="6"/>
    <s v="Opdivo + Cabozantinib"/>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s v="N/A"/>
    <x v="0"/>
    <s v="Atopic dermatitis "/>
    <x v="0"/>
    <s v="nemolizumab"/>
  </r>
  <r>
    <x v="1"/>
    <s v="N/A"/>
    <x v="0"/>
    <s v="Atopic dermatitis "/>
    <x v="0"/>
    <s v="nemolizumab"/>
  </r>
  <r>
    <x v="2"/>
    <s v="N/A"/>
    <x v="0"/>
    <s v="Atopic dermatitis"/>
    <x v="0"/>
    <s v="nemolizumab"/>
  </r>
  <r>
    <x v="3"/>
    <s v="N/A"/>
    <x v="0"/>
    <s v="Atopic dermatitis "/>
    <x v="0"/>
    <s v="nemolizumab"/>
  </r>
  <r>
    <x v="1"/>
    <s v="N/A"/>
    <x v="1"/>
    <s v="Multiple Myeloma"/>
    <x v="1"/>
    <s v="Elrinatamab"/>
  </r>
  <r>
    <x v="2"/>
    <s v="N/A"/>
    <x v="1"/>
    <s v="Multiple Myeloma"/>
    <x v="1"/>
    <s v="Elrinatamab"/>
  </r>
  <r>
    <x v="3"/>
    <s v="N/A"/>
    <x v="1"/>
    <s v="Multiple Myeloma"/>
    <x v="1"/>
    <s v="Elrinatamab"/>
  </r>
  <r>
    <x v="4"/>
    <s v="N/A"/>
    <x v="1"/>
    <s v="Relapsed or refractory diffuse large B cell lymphoma (DLBCL) and primary mediastinal large B cell lymphoma (PMBCL), after two or more lines of systemic therapy"/>
    <x v="2"/>
    <s v="Axicabtagene ciloleucel (Yescarta®)"/>
  </r>
  <r>
    <x v="2"/>
    <s v="N/A"/>
    <x v="2"/>
    <s v="Primary IgA Nephropathy"/>
    <x v="1"/>
    <s v="VIS649"/>
  </r>
  <r>
    <x v="5"/>
    <s v="N/A"/>
    <x v="3"/>
    <s v="HER2 negative metastatic gastric and gastroesophageal junction adenocarcinoma"/>
    <x v="3"/>
    <s v="IMAB362 as add on to mFOLFOX6 in 1L of CLDN18.2 positive"/>
  </r>
  <r>
    <x v="1"/>
    <s v="N/A"/>
    <x v="3"/>
    <s v="Breast Cancer"/>
    <x v="1"/>
    <s v="MEN1116"/>
  </r>
  <r>
    <x v="3"/>
    <s v="N/A"/>
    <x v="3"/>
    <s v="Breast Cancer"/>
    <x v="1"/>
    <s v="MEN1116"/>
  </r>
  <r>
    <x v="3"/>
    <s v="N/A"/>
    <x v="3"/>
    <s v="First-line treatment of locally advanced or metastatic urothelial carcinoma "/>
    <x v="4"/>
    <s v="Enfortumab vedotin"/>
  </r>
  <r>
    <x v="6"/>
    <s v="EMA’s adaptive pathway process "/>
    <x v="4"/>
    <s v="Somatic cell therapy"/>
    <x v="5"/>
    <s v="PLacental eXpanded (PLX) cell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9">
  <r>
    <n v="1"/>
    <x v="0"/>
    <x v="0"/>
    <s v="NICE Technology appraisals"/>
    <x v="0"/>
    <x v="0"/>
    <x v="0"/>
    <n v="2021"/>
    <s v="CEM adaptation, BIM, STA write-up, post-submission support"/>
    <s v="Ongoing"/>
    <s v="Enzalutamide"/>
  </r>
  <r>
    <n v="2"/>
    <x v="0"/>
    <x v="0"/>
    <s v="NICE Technology appraisals"/>
    <x v="0"/>
    <x v="1"/>
    <x v="1"/>
    <n v="2021"/>
    <s v="CEM validation, BIM, STA write up, strategy validation with KOLs, post submission support, SLR + updates, NMA"/>
    <s v="Recommended"/>
    <s v="Enzalutamide"/>
  </r>
  <r>
    <n v="3"/>
    <x v="0"/>
    <x v="0"/>
    <s v="NICE Technology appraisals"/>
    <x v="1"/>
    <x v="2"/>
    <x v="0"/>
    <n v="2021"/>
    <s v="CEM adaptation, BIM, STA write-up, post-submission support"/>
    <s v="Ongoing"/>
    <s v="Roxadustat"/>
  </r>
  <r>
    <n v="4"/>
    <x v="0"/>
    <x v="0"/>
    <s v="NICE Technology appraisals"/>
    <x v="2"/>
    <x v="3"/>
    <x v="0"/>
    <n v="2021"/>
    <s v="CEM adaptation, BIM, STA write-up, post-submission support"/>
    <s v="Ongoing"/>
    <s v="Filgotinib"/>
  </r>
  <r>
    <n v="5"/>
    <x v="0"/>
    <x v="0"/>
    <s v="NICE Technology appraisals"/>
    <x v="0"/>
    <x v="4"/>
    <x v="0"/>
    <n v="2021"/>
    <s v="Early scientific advice, CEM, BIM, SLR, ITC, STA write-up, post-submission support"/>
    <s v="Ongoing"/>
    <s v="Cabozantinib for HCC"/>
  </r>
  <r>
    <n v="6"/>
    <x v="0"/>
    <x v="0"/>
    <s v="NICE Technology appraisals"/>
    <x v="0"/>
    <x v="4"/>
    <x v="0"/>
    <n v="2021"/>
    <s v="STA write-up, post-submission support"/>
    <s v="Ongoing"/>
    <s v="Libtayo® for NSCLC"/>
  </r>
  <r>
    <n v="7"/>
    <x v="0"/>
    <x v="0"/>
    <s v="NICE Technology appraisals"/>
    <x v="3"/>
    <x v="5"/>
    <x v="0"/>
    <n v="2021"/>
    <s v="CEM adaptation, STA write-up"/>
    <s v="Ongoing"/>
    <s v="Jardiance® for HFrEF"/>
  </r>
  <r>
    <n v="8"/>
    <x v="0"/>
    <x v="0"/>
    <s v="NICE Technology appraisals"/>
    <x v="4"/>
    <x v="6"/>
    <x v="2"/>
    <n v="2020"/>
    <s v="CEM adaptation, BIM adaptation, Section B3 development, SLR update"/>
    <s v="Postponed"/>
    <s v="ELX/TEZ/IVA"/>
  </r>
  <r>
    <n v="9"/>
    <x v="0"/>
    <x v="0"/>
    <s v="NICE Technology appraisals"/>
    <x v="5"/>
    <x v="7"/>
    <x v="2"/>
    <n v="2020"/>
    <s v="CEM adaptation, BIM, STA write-up, post-submission support"/>
    <s v="Recommended"/>
    <s v="Filgotinib"/>
  </r>
  <r>
    <n v="10"/>
    <x v="0"/>
    <x v="0"/>
    <s v="NICE Technology appraisals"/>
    <x v="6"/>
    <x v="8"/>
    <x v="2"/>
    <n v="2020"/>
    <s v=" CEM, BIM, STA write up"/>
    <s v="Ongoing"/>
    <m/>
  </r>
  <r>
    <n v="11"/>
    <x v="0"/>
    <x v="0"/>
    <s v="NICE Technology appraisals"/>
    <x v="0"/>
    <x v="9"/>
    <x v="2"/>
    <n v="2020"/>
    <s v="CEM, BIM, STA write up"/>
    <s v="Ongoing"/>
    <m/>
  </r>
  <r>
    <n v="12"/>
    <x v="0"/>
    <x v="0"/>
    <s v="NICE Technology appraisals"/>
    <x v="3"/>
    <x v="10"/>
    <x v="2"/>
    <n v="2020"/>
    <s v="CEM validation, BIM, STA write up, post submission support"/>
    <s v="Ongoing"/>
    <m/>
  </r>
  <r>
    <n v="13"/>
    <x v="0"/>
    <x v="0"/>
    <s v="NICE Technology appraisals"/>
    <x v="0"/>
    <x v="9"/>
    <x v="1"/>
    <n v="2019"/>
    <s v="CEM, BIM, STA write-up"/>
    <s v="Withdrawn"/>
    <m/>
  </r>
  <r>
    <n v="14"/>
    <x v="0"/>
    <x v="0"/>
    <s v="NICE Technology appraisals"/>
    <x v="5"/>
    <x v="7"/>
    <x v="1"/>
    <n v="2019"/>
    <s v="CEM adaptation, STA write-up, post-submission support"/>
    <s v="Recommended"/>
    <s v="Upadacitinib (recommended for severe RA)"/>
  </r>
  <r>
    <n v="15"/>
    <x v="0"/>
    <x v="0"/>
    <s v="NICE Technology appraisals"/>
    <x v="0"/>
    <x v="11"/>
    <x v="1"/>
    <n v="2019"/>
    <s v=" CEM, BIM, STA write-up"/>
    <s v="Ongoing"/>
    <m/>
  </r>
  <r>
    <n v="16"/>
    <x v="0"/>
    <x v="0"/>
    <s v="NICE Technology appraisals"/>
    <x v="0"/>
    <x v="12"/>
    <x v="1"/>
    <n v="2019"/>
    <s v="CEM, BIM, STA write-up, post-submission support"/>
    <s v="Recommended"/>
    <s v="Larotrectinib (VItrakvi®)for NTRK fusion"/>
  </r>
  <r>
    <n v="17"/>
    <x v="0"/>
    <x v="0"/>
    <s v="NICE Technology appraisals"/>
    <x v="0"/>
    <x v="12"/>
    <x v="1"/>
    <n v="2019"/>
    <s v="CEM, BIM, STA write-up"/>
    <s v="Recommended"/>
    <m/>
  </r>
  <r>
    <n v="18"/>
    <x v="0"/>
    <x v="0"/>
    <s v="NICE Technology appraisals"/>
    <x v="7"/>
    <x v="13"/>
    <x v="1"/>
    <n v="2019"/>
    <s v="CEM, BIM, post submission support"/>
    <s v="Recommended"/>
    <m/>
  </r>
  <r>
    <n v="19"/>
    <x v="0"/>
    <x v="0"/>
    <s v="NICE Technology appraisals"/>
    <x v="3"/>
    <x v="14"/>
    <x v="1"/>
    <n v="2019"/>
    <s v="SLR, adaptation of CEM and BIM, STA write up"/>
    <s v="Recommended"/>
    <m/>
  </r>
  <r>
    <n v="20"/>
    <x v="0"/>
    <x v="0"/>
    <s v="NICE Technology appraisals"/>
    <x v="0"/>
    <x v="12"/>
    <x v="1"/>
    <n v="2019"/>
    <s v="CEM, BIM, STA write-up"/>
    <s v="Not recommended"/>
    <m/>
  </r>
  <r>
    <n v="21"/>
    <x v="0"/>
    <x v="0"/>
    <s v="NICE Technology appraisals"/>
    <x v="7"/>
    <x v="15"/>
    <x v="1"/>
    <n v="2019"/>
    <s v="CEM adaptation, STA write up, post-submission support"/>
    <s v="Recommended"/>
    <s v="Liraglutide for obesity"/>
  </r>
  <r>
    <n v="22"/>
    <x v="0"/>
    <x v="0"/>
    <s v="NICE Technology appraisals"/>
    <x v="0"/>
    <x v="16"/>
    <x v="3"/>
    <n v="2018"/>
    <s v="CEM adaptation, STA write up, post-submission support"/>
    <s v="Recommended"/>
    <s v="Liposomal cytarabine–daunorubicin for untreated acute myeloid leukaemia"/>
  </r>
  <r>
    <n v="23"/>
    <x v="0"/>
    <x v="0"/>
    <s v="NICE Technology appraisals"/>
    <x v="8"/>
    <x v="17"/>
    <x v="3"/>
    <n v="2018"/>
    <s v="FTA write up, post-submission support"/>
    <s v="Ongoing"/>
    <m/>
  </r>
  <r>
    <n v="24"/>
    <x v="0"/>
    <x v="0"/>
    <s v="NICE Technology appraisals"/>
    <x v="0"/>
    <x v="16"/>
    <x v="3"/>
    <n v="2018"/>
    <s v="CEM, BIM, STA write up"/>
    <s v="Ongoing"/>
    <m/>
  </r>
  <r>
    <n v="25"/>
    <x v="0"/>
    <x v="0"/>
    <s v="NICE Technology appraisals"/>
    <x v="0"/>
    <x v="18"/>
    <x v="3"/>
    <n v="2018"/>
    <s v="CEM, BIM, STA write up, strategy validation with KOLs, post submission support, SLR + updates, NMA"/>
    <s v="Not recommended"/>
    <s v="Enzalutamide"/>
  </r>
  <r>
    <n v="26"/>
    <x v="0"/>
    <x v="0"/>
    <s v="NICE Technology appraisals"/>
    <x v="9"/>
    <x v="19"/>
    <x v="4"/>
    <n v="2017"/>
    <s v="CEM adaptation, STA write up, post-submission support"/>
    <s v="Recommended"/>
    <m/>
  </r>
  <r>
    <n v="27"/>
    <x v="0"/>
    <x v="0"/>
    <s v="NICE Technology appraisals"/>
    <x v="5"/>
    <x v="20"/>
    <x v="4"/>
    <n v="2017"/>
    <s v="SLRs, CEM, BIM, STA write up, post-submission support"/>
    <s v="Recommended"/>
    <m/>
  </r>
  <r>
    <n v="28"/>
    <x v="0"/>
    <x v="0"/>
    <s v="NICE Technology appraisals"/>
    <x v="0"/>
    <x v="21"/>
    <x v="4"/>
    <n v="2017"/>
    <s v="CEM, BIM, STA write up"/>
    <s v="Recommended"/>
    <m/>
  </r>
  <r>
    <n v="29"/>
    <x v="0"/>
    <x v="0"/>
    <s v="NICE Technology appraisals"/>
    <x v="5"/>
    <x v="7"/>
    <x v="4"/>
    <n v="2017"/>
    <s v="CEM, BIM, post-submission support"/>
    <s v="Recommended"/>
    <s v="Baricitinib (recommended for severe RA)"/>
  </r>
  <r>
    <n v="30"/>
    <x v="0"/>
    <x v="0"/>
    <s v="NICE Technology appraisals"/>
    <x v="0"/>
    <x v="22"/>
    <x v="5"/>
    <n v="2016"/>
    <s v="CEM/BIM revision, updated submission under CDF framework"/>
    <s v="Pending"/>
    <m/>
  </r>
  <r>
    <n v="31"/>
    <x v="0"/>
    <x v="0"/>
    <s v="NICE Technology appraisals"/>
    <x v="10"/>
    <x v="23"/>
    <x v="5"/>
    <n v="2016"/>
    <s v="SLR, CEM, BIM, STA write up"/>
    <s v="Recommended"/>
    <m/>
  </r>
  <r>
    <n v="32"/>
    <x v="0"/>
    <x v="0"/>
    <s v="NICE Technology appraisals"/>
    <x v="0"/>
    <x v="24"/>
    <x v="5"/>
    <n v="2016"/>
    <s v="CEM, BIM, STA write up"/>
    <s v="Recommended"/>
    <m/>
  </r>
  <r>
    <n v="33"/>
    <x v="0"/>
    <x v="0"/>
    <s v="NICE Technology appraisals"/>
    <x v="8"/>
    <x v="17"/>
    <x v="6"/>
    <n v="2015"/>
    <s v="Economic/QoL SLR, CEM, BIM, STA write up"/>
    <s v="Recommended"/>
    <m/>
  </r>
  <r>
    <n v="34"/>
    <x v="0"/>
    <x v="0"/>
    <s v="NICE Technology appraisals"/>
    <x v="0"/>
    <x v="25"/>
    <x v="6"/>
    <n v="2015"/>
    <s v="Updated survival data analysis, adaptation of CEM, BIM, STA write up "/>
    <s v="Recommended"/>
    <m/>
  </r>
  <r>
    <n v="35"/>
    <x v="0"/>
    <x v="0"/>
    <s v="NICE Technology appraisals"/>
    <x v="0"/>
    <x v="26"/>
    <x v="6"/>
    <n v="2015"/>
    <s v="SLR, CEM, BIM, STA write up, represented company at NICE "/>
    <s v="Recommended"/>
    <m/>
  </r>
  <r>
    <n v="36"/>
    <x v="0"/>
    <x v="0"/>
    <s v="NICE Technology appraisals"/>
    <x v="5"/>
    <x v="27"/>
    <x v="6"/>
    <n v="2015"/>
    <s v="CEM, MTA write up"/>
    <s v="Recommended"/>
    <m/>
  </r>
  <r>
    <n v="37"/>
    <x v="0"/>
    <x v="0"/>
    <s v="NICE Technology appraisals"/>
    <x v="7"/>
    <x v="28"/>
    <x v="6"/>
    <n v="2015"/>
    <s v="CEM"/>
    <s v="Recommended"/>
    <m/>
  </r>
  <r>
    <n v="38"/>
    <x v="0"/>
    <x v="0"/>
    <s v="NICE Technology appraisals"/>
    <x v="10"/>
    <x v="29"/>
    <x v="7"/>
    <n v="2014"/>
    <s v="NMA, CEM, STA write up"/>
    <s v="Recommended"/>
    <m/>
  </r>
  <r>
    <n v="39"/>
    <x v="0"/>
    <x v="0"/>
    <s v="NICE Technology appraisals"/>
    <x v="10"/>
    <x v="30"/>
    <x v="7"/>
    <n v="2014"/>
    <s v="SLR, CEM, BIM, STA write up"/>
    <s v="Recommended"/>
    <m/>
  </r>
  <r>
    <n v="40"/>
    <x v="0"/>
    <x v="0"/>
    <s v="NICE Technology appraisals"/>
    <x v="0"/>
    <x v="31"/>
    <x v="7"/>
    <n v="2014"/>
    <s v="CEM, BIM, STA write up, strategy validation with KOLs, post submission support, OS adjustment"/>
    <s v="Recommended"/>
    <s v="Enzalutamide"/>
  </r>
  <r>
    <n v="41"/>
    <x v="0"/>
    <x v="0"/>
    <s v="NICE Technology appraisals"/>
    <x v="3"/>
    <x v="32"/>
    <x v="8"/>
    <n v="2013"/>
    <s v="SLR, CEM, BIM, STA write up, represented company at NICE "/>
    <s v="Recommended"/>
    <m/>
  </r>
  <r>
    <n v="42"/>
    <x v="0"/>
    <x v="0"/>
    <s v="NICE Technology appraisals"/>
    <x v="10"/>
    <x v="33"/>
    <x v="8"/>
    <n v="2013"/>
    <s v="CEM, BIM, STA write up"/>
    <s v="Recommended"/>
    <m/>
  </r>
  <r>
    <n v="43"/>
    <x v="0"/>
    <x v="0"/>
    <s v="NICE Technology appraisals"/>
    <x v="7"/>
    <x v="28"/>
    <x v="8"/>
    <n v="2013"/>
    <s v="CEM"/>
    <s v="Recommended"/>
    <m/>
  </r>
  <r>
    <n v="44"/>
    <x v="0"/>
    <x v="0"/>
    <s v="NICE Technology appraisals"/>
    <x v="10"/>
    <x v="34"/>
    <x v="8"/>
    <n v="2013"/>
    <s v="CEM, BIM, STA write up, post submission support"/>
    <s v="Recommended"/>
    <s v="Iluvien"/>
  </r>
  <r>
    <n v="45"/>
    <x v="0"/>
    <x v="0"/>
    <s v="NICE Technology appraisals"/>
    <x v="0"/>
    <x v="35"/>
    <x v="8"/>
    <n v="2013"/>
    <s v="CEM, BIM, STA write up, strategy validation with KOLs, post submission support, SLR, NMA"/>
    <s v="Recommended"/>
    <s v="Enzalutamide"/>
  </r>
  <r>
    <n v="46"/>
    <x v="0"/>
    <x v="0"/>
    <s v="NICE Technology appraisals"/>
    <x v="3"/>
    <x v="36"/>
    <x v="9"/>
    <n v="2012"/>
    <s v="SLR, CEM, BIM, STA write up"/>
    <s v="Recommended"/>
    <m/>
  </r>
  <r>
    <n v="47"/>
    <x v="0"/>
    <x v="0"/>
    <s v="NICE Technology appraisals"/>
    <x v="3"/>
    <x v="37"/>
    <x v="9"/>
    <n v="2012"/>
    <s v="SLR, CEM, BIM, STA write up, represented company at NICE "/>
    <s v="Recommended"/>
    <m/>
  </r>
  <r>
    <n v="48"/>
    <x v="0"/>
    <x v="0"/>
    <s v="NICE Technology appraisals"/>
    <x v="7"/>
    <x v="38"/>
    <x v="9"/>
    <n v="2012"/>
    <s v="CEM, BIM, STA write up"/>
    <s v="Recommended"/>
    <m/>
  </r>
  <r>
    <n v="49"/>
    <x v="0"/>
    <x v="0"/>
    <s v="NICE Technology appraisals"/>
    <x v="7"/>
    <x v="6"/>
    <x v="9"/>
    <n v="2012"/>
    <s v="CEM, BIM, STA write up, post submission support"/>
    <s v="Recommended"/>
    <s v="Bronchitol"/>
  </r>
  <r>
    <n v="51"/>
    <x v="0"/>
    <x v="0"/>
    <s v="NHSE - Specialised commissioning "/>
    <x v="7"/>
    <x v="39"/>
    <x v="4"/>
    <n v="2017"/>
    <s v="CSP dossier"/>
    <s v="Recommended"/>
    <m/>
  </r>
  <r>
    <n v="52"/>
    <x v="1"/>
    <x v="1"/>
    <s v="N/A"/>
    <x v="0"/>
    <x v="1"/>
    <x v="0"/>
    <n v="2021"/>
    <s v="CEM adaptation, BIM, NPAF write up, NPAF strategy validation, post submission support"/>
    <s v="Ongoing"/>
    <s v="Enzalutamide"/>
  </r>
  <r>
    <n v="53"/>
    <x v="1"/>
    <x v="1"/>
    <s v="N/A"/>
    <x v="1"/>
    <x v="2"/>
    <x v="0"/>
    <n v="2021"/>
    <s v="CEM adaptation, BIM, STA write-up, post-submission support"/>
    <s v="Ongoing"/>
    <s v="Roxadustat"/>
  </r>
  <r>
    <n v="54"/>
    <x v="1"/>
    <x v="1"/>
    <s v="N/A"/>
    <x v="2"/>
    <x v="3"/>
    <x v="0"/>
    <n v="2021"/>
    <s v="SMC submission"/>
    <s v="Ongoing"/>
    <s v="Filgotinib"/>
  </r>
  <r>
    <n v="55"/>
    <x v="1"/>
    <x v="1"/>
    <s v="N/A"/>
    <x v="5"/>
    <x v="7"/>
    <x v="0"/>
    <n v="2021"/>
    <s v="SMC submission"/>
    <s v="Ongoing"/>
    <s v="Filgotinib"/>
  </r>
  <r>
    <n v="56"/>
    <x v="1"/>
    <x v="1"/>
    <s v="N/A"/>
    <x v="0"/>
    <x v="4"/>
    <x v="0"/>
    <n v="2021"/>
    <s v="CEM adaptation, NPAF write-up, post-subimssion support"/>
    <s v="Ongoing"/>
    <s v="Larotrectinib (Vitrakvi®) for NTRK fusion cancer"/>
  </r>
  <r>
    <n v="57"/>
    <x v="1"/>
    <x v="1"/>
    <s v="N/A"/>
    <x v="0"/>
    <x v="4"/>
    <x v="2"/>
    <n v="2020"/>
    <s v="CEM development, SLR, NPAF write-up"/>
    <s v="Recommended"/>
    <s v="Leuprorelin acetate (Prostap®) for pre- and perimenopausal women with advanced breast cancer suitable for hormonal manipulation."/>
  </r>
  <r>
    <n v="58"/>
    <x v="1"/>
    <x v="1"/>
    <s v="N/A"/>
    <x v="5"/>
    <x v="7"/>
    <x v="2"/>
    <n v="2020"/>
    <s v="SMC submission"/>
    <s v="Recommended"/>
    <s v="Upadacitinib (recommended for severe RA)"/>
  </r>
  <r>
    <n v="59"/>
    <x v="1"/>
    <x v="1"/>
    <s v="N/A"/>
    <x v="7"/>
    <x v="40"/>
    <x v="1"/>
    <n v="2019"/>
    <s v="SMC submission"/>
    <s v="Ongoing"/>
    <m/>
  </r>
  <r>
    <n v="60"/>
    <x v="1"/>
    <x v="1"/>
    <s v="N/A"/>
    <x v="0"/>
    <x v="41"/>
    <x v="1"/>
    <n v="2019"/>
    <s v="SMC submission"/>
    <s v="Ongoing"/>
    <m/>
  </r>
  <r>
    <n v="61"/>
    <x v="1"/>
    <x v="1"/>
    <s v="N/A"/>
    <x v="8"/>
    <x v="42"/>
    <x v="1"/>
    <n v="2019"/>
    <s v="SMC submission"/>
    <s v="Ongoing"/>
    <m/>
  </r>
  <r>
    <n v="62"/>
    <x v="1"/>
    <x v="1"/>
    <s v="N/A"/>
    <x v="7"/>
    <x v="43"/>
    <x v="3"/>
    <n v="2018"/>
    <s v="SMC submission"/>
    <s v="Ongoing"/>
    <m/>
  </r>
  <r>
    <n v="63"/>
    <x v="1"/>
    <x v="1"/>
    <s v="N/A"/>
    <x v="0"/>
    <x v="18"/>
    <x v="3"/>
    <n v="2018"/>
    <s v="CEM adaptation, BIM, NPAF write up, NPAF strategy validation, post submission support"/>
    <s v="Not recommended"/>
    <s v="Enzalutamide"/>
  </r>
  <r>
    <n v="64"/>
    <x v="1"/>
    <x v="1"/>
    <s v="N/A"/>
    <x v="11"/>
    <x v="44"/>
    <x v="4"/>
    <n v="2017"/>
    <s v="CEM QC, SMC submission"/>
    <s v="Recommended"/>
    <m/>
  </r>
  <r>
    <n v="65"/>
    <x v="1"/>
    <x v="1"/>
    <s v="N/A"/>
    <x v="0"/>
    <x v="45"/>
    <x v="5"/>
    <n v="2016"/>
    <s v="SLR, model updated, SMC submission"/>
    <s v="Recommended"/>
    <m/>
  </r>
  <r>
    <n v="66"/>
    <x v="1"/>
    <x v="1"/>
    <s v="N/A"/>
    <x v="0"/>
    <x v="46"/>
    <x v="6"/>
    <n v="2015"/>
    <s v="SMC submission and post-admission support"/>
    <s v="Recommended"/>
    <m/>
  </r>
  <r>
    <n v="67"/>
    <x v="1"/>
    <x v="1"/>
    <s v="N/A"/>
    <x v="0"/>
    <x v="25"/>
    <x v="6"/>
    <n v="2015"/>
    <s v="CEM, SMC submission"/>
    <s v="Recommended"/>
    <m/>
  </r>
  <r>
    <n v="68"/>
    <x v="1"/>
    <x v="1"/>
    <s v="N/A"/>
    <x v="7"/>
    <x v="40"/>
    <x v="6"/>
    <n v="2015"/>
    <s v="CEM, SMC submission"/>
    <s v="Recommended"/>
    <m/>
  </r>
  <r>
    <n v="69"/>
    <x v="1"/>
    <x v="1"/>
    <s v="N/A"/>
    <x v="7"/>
    <x v="40"/>
    <x v="6"/>
    <n v="2015"/>
    <s v="CEM"/>
    <s v="Recommended"/>
    <m/>
  </r>
  <r>
    <n v="70"/>
    <x v="1"/>
    <x v="1"/>
    <s v="N/A"/>
    <x v="11"/>
    <x v="44"/>
    <x v="6"/>
    <n v="2015"/>
    <s v="CEM and BIM QC, SMC submission"/>
    <s v="Recommended"/>
    <m/>
  </r>
  <r>
    <n v="71"/>
    <x v="1"/>
    <x v="1"/>
    <s v="N/A"/>
    <x v="10"/>
    <x v="47"/>
    <x v="6"/>
    <n v="2015"/>
    <s v="CEM, NMA, SLR, SMC submission"/>
    <s v="Recommended"/>
    <m/>
  </r>
  <r>
    <n v="72"/>
    <x v="1"/>
    <x v="1"/>
    <s v="N/A"/>
    <x v="0"/>
    <x v="31"/>
    <x v="6"/>
    <n v="2015"/>
    <s v="CEM adaptation, BIM, NPAF write up, NPAF strategy validation, post submission support"/>
    <s v="Recommended"/>
    <s v="Enzalutamide"/>
  </r>
  <r>
    <n v="73"/>
    <x v="1"/>
    <x v="1"/>
    <s v="N/A"/>
    <x v="9"/>
    <x v="48"/>
    <x v="6"/>
    <n v="2015"/>
    <s v="NPAF write up, postsubmission support"/>
    <s v="Not recommended"/>
    <s v="Miconazole"/>
  </r>
  <r>
    <n v="74"/>
    <x v="1"/>
    <x v="1"/>
    <s v="N/A"/>
    <x v="9"/>
    <x v="49"/>
    <x v="6"/>
    <n v="2015"/>
    <s v="CEM adaptation, BIM, NPAF write up, NPAF strategy validation, post submission support, SLR, NMA"/>
    <s v="Recommended"/>
    <s v="Dalbavancin"/>
  </r>
  <r>
    <n v="75"/>
    <x v="1"/>
    <x v="1"/>
    <s v="N/A"/>
    <x v="0"/>
    <x v="35"/>
    <x v="8"/>
    <n v="2013"/>
    <s v="CEM adaptation, BIM, NPAF write up, NPAF strategy validation, post submission support"/>
    <s v="Recommended"/>
    <s v="Enzalutamide"/>
  </r>
  <r>
    <n v="76"/>
    <x v="1"/>
    <x v="1"/>
    <s v="N/A"/>
    <x v="7"/>
    <x v="6"/>
    <x v="9"/>
    <n v="2012"/>
    <s v="CEM adaptation, BIM, NPAF write up, NPAF strategy validation, post submission support"/>
    <s v="Recommended"/>
    <s v="Bronchitol"/>
  </r>
  <r>
    <n v="77"/>
    <x v="1"/>
    <x v="1"/>
    <s v="N/A"/>
    <x v="9"/>
    <x v="50"/>
    <x v="9"/>
    <n v="2012"/>
    <s v="CEM adaptation, BIM, NPAF write up, NPAF strategy validation, post submission support, SLR, NMA"/>
    <s v="Recommended"/>
    <s v="Fidaxomicin"/>
  </r>
  <r>
    <n v="78"/>
    <x v="1"/>
    <x v="1"/>
    <s v="N/A"/>
    <x v="4"/>
    <x v="6"/>
    <x v="2"/>
    <n v="2020"/>
    <s v="CEM adaptation, BIM, Section 6"/>
    <s v="Postponed"/>
    <s v="ELX/TEZ/IVA"/>
  </r>
  <r>
    <n v="79"/>
    <x v="2"/>
    <x v="2"/>
    <s v="N/A"/>
    <x v="7"/>
    <x v="40"/>
    <x v="1"/>
    <n v="2019"/>
    <s v="AWMSG submission"/>
    <s v="Ongoing"/>
    <m/>
  </r>
  <r>
    <n v="80"/>
    <x v="2"/>
    <x v="2"/>
    <s v="N/A"/>
    <x v="0"/>
    <x v="51"/>
    <x v="3"/>
    <n v="2018"/>
    <s v="Form A, Form B"/>
    <s v="Recommended"/>
    <m/>
  </r>
  <r>
    <n v="81"/>
    <x v="2"/>
    <x v="2"/>
    <s v="N/A"/>
    <x v="11"/>
    <x v="44"/>
    <x v="3"/>
    <n v="2018"/>
    <s v="CEM, dossier post-submission support"/>
    <s v="Recommended"/>
    <m/>
  </r>
  <r>
    <n v="82"/>
    <x v="2"/>
    <x v="2"/>
    <s v="N/A"/>
    <x v="7"/>
    <x v="40"/>
    <x v="5"/>
    <n v="2016"/>
    <s v="BIM, AWMSG dossier (Form B)"/>
    <s v="Recommended"/>
    <m/>
  </r>
  <r>
    <n v="83"/>
    <x v="2"/>
    <x v="2"/>
    <s v="N/A"/>
    <x v="9"/>
    <x v="50"/>
    <x v="6"/>
    <n v="2015"/>
    <s v="CEM adaptation, BIM, Form B write up, AWMSG strategy validation, post submission support"/>
    <s v="Recommended"/>
    <m/>
  </r>
  <r>
    <n v="84"/>
    <x v="2"/>
    <x v="2"/>
    <s v="N/A"/>
    <x v="3"/>
    <x v="52"/>
    <x v="8"/>
    <n v="2013"/>
    <s v="BIM, AWMSG dossier (Form B)"/>
    <s v="Recommended"/>
    <m/>
  </r>
  <r>
    <n v="85"/>
    <x v="3"/>
    <x v="3"/>
    <s v="N/A"/>
    <x v="0"/>
    <x v="53"/>
    <x v="0"/>
    <n v="2021"/>
    <s v="CEM adaptation, BIM, STA write-up, post-submission support"/>
    <s v="Ongoing"/>
    <s v="Xtandi"/>
  </r>
  <r>
    <n v="86"/>
    <x v="3"/>
    <x v="3"/>
    <s v="N/A"/>
    <x v="0"/>
    <x v="1"/>
    <x v="0"/>
    <n v="2021"/>
    <s v="Rapid review, CEM adaptation, BIM, STA write-up, post-submission support"/>
    <s v="Ongoing"/>
    <s v="Xtandi"/>
  </r>
  <r>
    <n v="87"/>
    <x v="3"/>
    <x v="3"/>
    <s v="N/A"/>
    <x v="1"/>
    <x v="2"/>
    <x v="0"/>
    <n v="2021"/>
    <s v="CEM adaptation, BIM, STA write-up, post-submission support"/>
    <s v="Ongoing"/>
    <s v="Roxadustat"/>
  </r>
  <r>
    <n v="88"/>
    <x v="3"/>
    <x v="3"/>
    <s v="N/A"/>
    <x v="12"/>
    <x v="3"/>
    <x v="0"/>
    <n v="2021"/>
    <s v="Rapid review"/>
    <s v="Pending"/>
    <s v="Filgotinib"/>
  </r>
  <r>
    <n v="89"/>
    <x v="3"/>
    <x v="3"/>
    <s v="N/A"/>
    <x v="5"/>
    <x v="54"/>
    <x v="2"/>
    <n v="2020"/>
    <s v="Rapid review"/>
    <s v="Recommended"/>
    <s v="Filgotinib"/>
  </r>
  <r>
    <n v="90"/>
    <x v="3"/>
    <x v="3"/>
    <s v="N/A"/>
    <x v="5"/>
    <x v="54"/>
    <x v="1"/>
    <n v="2019"/>
    <s v="Rapid review"/>
    <s v="Ongoing"/>
    <m/>
  </r>
  <r>
    <n v="91"/>
    <x v="3"/>
    <x v="3"/>
    <s v="N/A"/>
    <x v="8"/>
    <x v="42"/>
    <x v="1"/>
    <n v="2019"/>
    <s v="Rapid review"/>
    <s v="Full assessment requested"/>
    <s v="Risankizumab"/>
  </r>
  <r>
    <n v="92"/>
    <x v="3"/>
    <x v="3"/>
    <s v="N/A"/>
    <x v="0"/>
    <x v="18"/>
    <x v="1"/>
    <n v="2019"/>
    <s v="CEM adaptation, BIM, Rapid Review Form write up, Scoping Meeting, Full dossier, post submission support"/>
    <s v="Ongoing"/>
    <s v="Enzalutamide"/>
  </r>
  <r>
    <n v="93"/>
    <x v="3"/>
    <x v="3"/>
    <s v="N/A"/>
    <x v="8"/>
    <x v="42"/>
    <x v="2"/>
    <n v="2020"/>
    <s v="Full economic assessment"/>
    <s v="Ongoing"/>
    <m/>
  </r>
  <r>
    <n v="94"/>
    <x v="3"/>
    <x v="3"/>
    <s v="N/A"/>
    <x v="13"/>
    <x v="55"/>
    <x v="3"/>
    <n v="2018"/>
    <s v="Full economic assessment"/>
    <s v="Pending"/>
    <m/>
  </r>
  <r>
    <n v="95"/>
    <x v="3"/>
    <x v="3"/>
    <s v="N/A"/>
    <x v="9"/>
    <x v="56"/>
    <x v="3"/>
    <n v="2018"/>
    <s v="Rapid review"/>
    <s v="Recommended (x2)"/>
    <m/>
  </r>
  <r>
    <n v="96"/>
    <x v="3"/>
    <x v="3"/>
    <s v="N/A"/>
    <x v="7"/>
    <x v="57"/>
    <x v="4"/>
    <n v="2017"/>
    <s v="Economic assessment"/>
    <s v="Pending"/>
    <m/>
  </r>
  <r>
    <n v="97"/>
    <x v="3"/>
    <x v="3"/>
    <s v="N/A"/>
    <x v="9"/>
    <x v="58"/>
    <x v="4"/>
    <n v="2017"/>
    <s v="Rapid review"/>
    <s v="Recommended"/>
    <m/>
  </r>
  <r>
    <n v="98"/>
    <x v="3"/>
    <x v="3"/>
    <s v="N/A"/>
    <x v="10"/>
    <x v="59"/>
    <x v="5"/>
    <n v="2016"/>
    <s v="NMA &amp; economics sections only"/>
    <s v="Pending"/>
    <m/>
  </r>
  <r>
    <n v="99"/>
    <x v="3"/>
    <x v="3"/>
    <s v="N/A"/>
    <x v="10"/>
    <x v="59"/>
    <x v="6"/>
    <n v="2015"/>
    <s v="Rapid review"/>
    <s v="Recommended"/>
    <m/>
  </r>
  <r>
    <n v="100"/>
    <x v="3"/>
    <x v="3"/>
    <s v="N/A"/>
    <x v="7"/>
    <x v="57"/>
    <x v="5"/>
    <n v="2016"/>
    <s v="Rapid review &amp; economic assessment"/>
    <s v="Delayed"/>
    <m/>
  </r>
  <r>
    <n v="101"/>
    <x v="3"/>
    <x v="3"/>
    <s v="N/A"/>
    <x v="9"/>
    <x v="50"/>
    <x v="6"/>
    <n v="2015"/>
    <s v="CEM adaptation, BIM, Rapid Review Form write up, Scoping Meeting, Full dossier, post submission support"/>
    <s v="Recommended"/>
    <s v="Fidaxomicin"/>
  </r>
  <r>
    <n v="102"/>
    <x v="3"/>
    <x v="3"/>
    <s v="N/A"/>
    <x v="0"/>
    <x v="60"/>
    <x v="7"/>
    <n v="2014"/>
    <s v="Rapid review &amp; full economic assessment"/>
    <s v="Recommended (x2)"/>
    <m/>
  </r>
  <r>
    <n v="103"/>
    <x v="3"/>
    <x v="3"/>
    <s v="N/A"/>
    <x v="0"/>
    <x v="31"/>
    <x v="7"/>
    <n v="2014"/>
    <s v="CEM adaptation, BIM, Rapid Review Form write up, Scoping Meeting, Full dossier, post submission support"/>
    <s v="Not recommended"/>
    <s v="Enzalutamide"/>
  </r>
  <r>
    <n v="104"/>
    <x v="3"/>
    <x v="3"/>
    <s v="N/A"/>
    <x v="10"/>
    <x v="59"/>
    <x v="8"/>
    <n v="2013"/>
    <s v="Rapid review"/>
    <s v="Recommended"/>
    <m/>
  </r>
  <r>
    <n v="105"/>
    <x v="3"/>
    <x v="3"/>
    <s v="N/A"/>
    <x v="3"/>
    <x v="61"/>
    <x v="8"/>
    <n v="2013"/>
    <s v="Rapid review"/>
    <s v="Recommended"/>
    <m/>
  </r>
  <r>
    <n v="106"/>
    <x v="3"/>
    <x v="3"/>
    <s v="N/A"/>
    <x v="0"/>
    <x v="35"/>
    <x v="8"/>
    <n v="2013"/>
    <s v="CEM adaptation, BIM, Rapid Review Form write up, Scoping Meeting, Full dossier, post submission support"/>
    <s v="Not recommended"/>
    <s v="Enzalutamide"/>
  </r>
  <r>
    <n v="107"/>
    <x v="4"/>
    <x v="4"/>
    <s v="N/A"/>
    <x v="7"/>
    <x v="62"/>
    <x v="6"/>
    <n v="2015"/>
    <s v="Derivation of the appropriate comparator therapy for early G-BA consultation;_x000a_Study design consultation"/>
    <s v="Procedure completed - resubmitted"/>
    <s v="Evolocumab"/>
  </r>
  <r>
    <n v="108"/>
    <x v="4"/>
    <x v="4"/>
    <s v="N/A"/>
    <x v="0"/>
    <x v="63"/>
    <x v="6"/>
    <n v="2015"/>
    <s v="Full AMNOG dossier"/>
    <s v="Procedure completed - significant additional benefit"/>
    <s v="Blinatumomab"/>
  </r>
  <r>
    <n v="109"/>
    <x v="4"/>
    <x v="4"/>
    <s v="N/A"/>
    <x v="3"/>
    <x v="64"/>
    <x v="6"/>
    <n v="2015"/>
    <s v="Full AMNOG dossier"/>
    <s v="Procedure completed - indication of a low additional benefit"/>
    <s v="Apixaban"/>
  </r>
  <r>
    <n v="110"/>
    <x v="4"/>
    <x v="4"/>
    <s v="N/A"/>
    <x v="0"/>
    <x v="65"/>
    <x v="6"/>
    <n v="2015"/>
    <s v="Full AMNOG dossier"/>
    <s v="Not submitted"/>
    <s v="Anamorelin "/>
  </r>
  <r>
    <n v="111"/>
    <x v="4"/>
    <x v="4"/>
    <s v="N/A"/>
    <x v="0"/>
    <x v="65"/>
    <x v="6"/>
    <n v="2015"/>
    <s v="Development of pricing and reimbursement strategy_x000a_Health Technology Assessment (HTA) dossier Netherlands"/>
    <m/>
    <s v=" Anamorelin "/>
  </r>
  <r>
    <n v="112"/>
    <x v="4"/>
    <x v="4"/>
    <s v="N/A"/>
    <x v="13"/>
    <x v="66"/>
    <x v="6"/>
    <n v="2015"/>
    <s v="Full AMNOG dossier"/>
    <s v="Procedure completed - no additional benefit"/>
    <s v="Perampanel"/>
  </r>
  <r>
    <n v="113"/>
    <x v="4"/>
    <x v="4"/>
    <s v="N/A"/>
    <x v="7"/>
    <x v="67"/>
    <x v="6"/>
    <n v="2015"/>
    <s v="Full AMNOG dossier"/>
    <s v="Procedure completed - no additional benefit"/>
    <s v="Empagliflozin/Metformin"/>
  </r>
  <r>
    <n v="114"/>
    <x v="4"/>
    <x v="4"/>
    <s v="N/A"/>
    <x v="7"/>
    <x v="67"/>
    <x v="5"/>
    <n v="2016"/>
    <s v="Full AMNOG dossier"/>
    <s v="Procedure completed - no additional benefit"/>
    <s v="Empagliflozin/Linagliptin"/>
  </r>
  <r>
    <n v="115"/>
    <x v="4"/>
    <x v="4"/>
    <s v="N/A"/>
    <x v="7"/>
    <x v="67"/>
    <x v="5"/>
    <n v="2016"/>
    <s v="Health economic evaluation_x000a_Evaluation of avoidable treatment costs of cardiovascular events."/>
    <s v="Procedure completed - no additional benefit"/>
    <s v="Empagliflozin"/>
  </r>
  <r>
    <n v="116"/>
    <x v="4"/>
    <x v="4"/>
    <s v="N/A"/>
    <x v="0"/>
    <x v="68"/>
    <x v="5"/>
    <n v="2016"/>
    <s v="Full AMNOG dossier"/>
    <s v="Not submitted"/>
    <s v="Plitidepsin "/>
  </r>
  <r>
    <n v="117"/>
    <x v="4"/>
    <x v="4"/>
    <s v="N/A"/>
    <x v="0"/>
    <x v="69"/>
    <x v="5"/>
    <n v="2016"/>
    <s v="Full AMNOG dossier"/>
    <s v="Procedure completed - evidence of substantial additional benefit."/>
    <s v="Eribulin"/>
  </r>
  <r>
    <n v="118"/>
    <x v="4"/>
    <x v="4"/>
    <s v="N/A"/>
    <x v="13"/>
    <x v="66"/>
    <x v="5"/>
    <n v="2016"/>
    <s v="AMNOG Dossier resubmission "/>
    <s v="Procedure completed - no additional benefit"/>
    <s v="Perampanel"/>
  </r>
  <r>
    <n v="119"/>
    <x v="4"/>
    <x v="4"/>
    <s v="N/A"/>
    <x v="7"/>
    <x v="67"/>
    <x v="5"/>
    <n v="2016"/>
    <s v="Full AMNOG dossier"/>
    <s v="Procedure completed - no additional benefit"/>
    <s v="Empagliflozin/Metformin"/>
  </r>
  <r>
    <n v="120"/>
    <x v="4"/>
    <x v="4"/>
    <s v="N/A"/>
    <x v="7"/>
    <x v="67"/>
    <x v="5"/>
    <n v="2016"/>
    <s v="Full AMNOG dossier"/>
    <s v="Procedure completed - no additional benefit"/>
    <s v="Empagliflozin"/>
  </r>
  <r>
    <n v="121"/>
    <x v="4"/>
    <x v="4"/>
    <s v="N/A"/>
    <x v="7"/>
    <x v="67"/>
    <x v="5"/>
    <n v="2016"/>
    <s v="AMNOG Dossier resubmission "/>
    <s v="Procedure completed - no additional benefit"/>
    <s v="Empagliflozin"/>
  </r>
  <r>
    <n v="122"/>
    <x v="4"/>
    <x v="4"/>
    <s v="N/A"/>
    <x v="7"/>
    <x v="67"/>
    <x v="5"/>
    <n v="2016"/>
    <s v="Full AMNOG dossier"/>
    <s v="Procedure completed - no additional benefit"/>
    <s v="Empagliflozin/Metformin"/>
  </r>
  <r>
    <n v="123"/>
    <x v="4"/>
    <x v="4"/>
    <s v="N/A"/>
    <x v="0"/>
    <x v="63"/>
    <x v="4"/>
    <n v="2017"/>
    <s v="Parts of AMNOG dossier"/>
    <s v="Procedure completed - Orphan - additional benefit"/>
    <s v="Blinatumomab "/>
  </r>
  <r>
    <n v="124"/>
    <x v="4"/>
    <x v="4"/>
    <s v="N/A"/>
    <x v="0"/>
    <x v="63"/>
    <x v="4"/>
    <n v="2017"/>
    <s v="Parts of AMNOG dossier"/>
    <s v="Procedure completed - Orphan - additional benefit"/>
    <s v="Blinatumomab "/>
  </r>
  <r>
    <n v="125"/>
    <x v="4"/>
    <x v="4"/>
    <s v="N/A"/>
    <x v="0"/>
    <x v="63"/>
    <x v="4"/>
    <n v="2017"/>
    <s v="Parts of AMNOG dossier"/>
    <s v="Procedure completed - Orphan - additional benefit"/>
    <s v="Blinatumomab "/>
  </r>
  <r>
    <n v="126"/>
    <x v="4"/>
    <x v="4"/>
    <s v="N/A"/>
    <x v="7"/>
    <x v="70"/>
    <x v="4"/>
    <n v="2017"/>
    <s v="Full AMNOG dossier"/>
    <s v="Procedure completed - non-quantifiable additional benefit"/>
    <s v="Velmanase alfa"/>
  </r>
  <r>
    <n v="127"/>
    <x v="4"/>
    <x v="4"/>
    <s v="N/A"/>
    <x v="0"/>
    <x v="45"/>
    <x v="4"/>
    <n v="2017"/>
    <s v="Full AMNOG dossier"/>
    <s v="Procedure completed - no additional benefit"/>
    <s v="Lenvatinib"/>
  </r>
  <r>
    <n v="128"/>
    <x v="4"/>
    <x v="4"/>
    <s v="N/A"/>
    <x v="13"/>
    <x v="66"/>
    <x v="4"/>
    <n v="2017"/>
    <s v="Full AMNOG dossier"/>
    <s v="Procedure completed - no additional benefit"/>
    <s v="Perampanel"/>
  </r>
  <r>
    <n v="129"/>
    <x v="4"/>
    <x v="4"/>
    <s v="N/A"/>
    <x v="7"/>
    <x v="67"/>
    <x v="4"/>
    <n v="2017"/>
    <s v="AMNOG Dossier resubmission "/>
    <s v="Procedure completed - no additional benefit"/>
    <s v="Empagliflozin/Metformin"/>
  </r>
  <r>
    <n v="130"/>
    <x v="4"/>
    <x v="4"/>
    <s v="N/A"/>
    <x v="8"/>
    <x v="42"/>
    <x v="4"/>
    <n v="2017"/>
    <s v="Full AMNOG dossier"/>
    <s v="Procedure completed - indication of significant additional benefit"/>
    <s v="Guselkumab"/>
  </r>
  <r>
    <n v="131"/>
    <x v="4"/>
    <x v="4"/>
    <s v="N/A"/>
    <x v="5"/>
    <x v="54"/>
    <x v="4"/>
    <n v="2017"/>
    <s v="Full AMNOG dossier"/>
    <m/>
    <s v="Sirukumab"/>
  </r>
  <r>
    <n v="132"/>
    <x v="4"/>
    <x v="4"/>
    <s v="N/A"/>
    <x v="8"/>
    <x v="42"/>
    <x v="4"/>
    <n v="2017"/>
    <s v="Full AMNOG dossier"/>
    <s v="Procedure completed - no additional benefit"/>
    <s v="Brodalumab"/>
  </r>
  <r>
    <n v="133"/>
    <x v="4"/>
    <x v="4"/>
    <s v="N/A"/>
    <x v="1"/>
    <x v="71"/>
    <x v="4"/>
    <n v="2017"/>
    <s v="Full AMNOG dossier"/>
    <s v="Not submitted"/>
    <s v="Nonacog beta pegol "/>
  </r>
  <r>
    <n v="134"/>
    <x v="4"/>
    <x v="4"/>
    <s v="N/A"/>
    <x v="0"/>
    <x v="72"/>
    <x v="3"/>
    <n v="2018"/>
    <m/>
    <m/>
    <s v="Enzalutamide"/>
  </r>
  <r>
    <n v="135"/>
    <x v="4"/>
    <x v="4"/>
    <s v="N/A"/>
    <x v="13"/>
    <x v="73"/>
    <x v="3"/>
    <n v="2018"/>
    <m/>
    <s v="Procedure completed - indication of a low additional benefit"/>
    <s v="Melatonin"/>
  </r>
  <r>
    <n v="136"/>
    <x v="4"/>
    <x v="4"/>
    <s v="N/A"/>
    <x v="0"/>
    <x v="45"/>
    <x v="3"/>
    <n v="2018"/>
    <s v="Full AMNOG dossier"/>
    <s v="Procedure completed - indication of a low additional benefit"/>
    <s v="Cabozantinib"/>
  </r>
  <r>
    <n v="137"/>
    <x v="4"/>
    <x v="4"/>
    <s v="N/A"/>
    <x v="8"/>
    <x v="74"/>
    <x v="3"/>
    <n v="2018"/>
    <s v="Full AMNOG Dossier"/>
    <s v="Not submitted"/>
    <s v="Picato"/>
  </r>
  <r>
    <n v="138"/>
    <x v="4"/>
    <x v="4"/>
    <s v="N/A"/>
    <x v="0"/>
    <x v="75"/>
    <x v="3"/>
    <n v="2018"/>
    <s v="Parts of AMNOG dossier"/>
    <s v="Completed"/>
    <m/>
  </r>
  <r>
    <n v="139"/>
    <x v="4"/>
    <x v="4"/>
    <s v="N/A"/>
    <x v="0"/>
    <x v="75"/>
    <x v="3"/>
    <n v="2018"/>
    <s v="Parts of AMNOG dossier"/>
    <s v="Completed"/>
    <m/>
  </r>
  <r>
    <n v="140"/>
    <x v="4"/>
    <x v="4"/>
    <s v="N/A"/>
    <x v="0"/>
    <x v="69"/>
    <x v="3"/>
    <n v="2018"/>
    <s v="Full AMNOG dossier"/>
    <s v="Procedure completed - no additional benefit"/>
    <s v="Ribociclib"/>
  </r>
  <r>
    <n v="141"/>
    <x v="4"/>
    <x v="4"/>
    <s v="N/A"/>
    <x v="1"/>
    <x v="71"/>
    <x v="3"/>
    <n v="2018"/>
    <s v="Full AMNOG dossier"/>
    <s v="Completed"/>
    <m/>
  </r>
  <r>
    <n v="142"/>
    <x v="4"/>
    <x v="4"/>
    <s v="N/A"/>
    <x v="12"/>
    <x v="76"/>
    <x v="3"/>
    <n v="2018"/>
    <s v="Full AMNOG dossier"/>
    <s v="Procedure completed - no additional benefit"/>
    <s v="Naldemedin"/>
  </r>
  <r>
    <n v="143"/>
    <x v="4"/>
    <x v="4"/>
    <s v="N/A"/>
    <x v="12"/>
    <x v="76"/>
    <x v="3"/>
    <n v="2018"/>
    <s v="Full AMNOG dossier"/>
    <s v="Procedure completed - no additional benefit"/>
    <s v="Naldemedine"/>
  </r>
  <r>
    <n v="144"/>
    <x v="4"/>
    <x v="4"/>
    <s v="N/A"/>
    <x v="1"/>
    <x v="77"/>
    <x v="3"/>
    <n v="2018"/>
    <s v="Full AMNOG dossier"/>
    <s v="Not submitted"/>
    <m/>
  </r>
  <r>
    <n v="145"/>
    <x v="4"/>
    <x v="4"/>
    <s v="N/A"/>
    <x v="6"/>
    <x v="78"/>
    <x v="3"/>
    <n v="2018"/>
    <s v="Strategic consulting"/>
    <s v="Completed"/>
    <s v="Multiple"/>
  </r>
  <r>
    <n v="146"/>
    <x v="4"/>
    <x v="4"/>
    <s v="N/A"/>
    <x v="0"/>
    <x v="79"/>
    <x v="1"/>
    <n v="2019"/>
    <s v="Full AMNOG dossier"/>
    <s v="Pending"/>
    <s v="Blinatumomab"/>
  </r>
  <r>
    <n v="147"/>
    <x v="4"/>
    <x v="4"/>
    <s v="N/A"/>
    <x v="0"/>
    <x v="80"/>
    <x v="1"/>
    <n v="2019"/>
    <s v="Full AMNOG dossier"/>
    <s v="Pending"/>
    <s v="Carfilzomib"/>
  </r>
  <r>
    <n v="148"/>
    <x v="4"/>
    <x v="4"/>
    <s v="N/A"/>
    <x v="0"/>
    <x v="81"/>
    <x v="1"/>
    <n v="2019"/>
    <s v="Full AMNOG dossier"/>
    <s v="Ongoing"/>
    <s v="Ide-Cel"/>
  </r>
  <r>
    <n v="149"/>
    <x v="4"/>
    <x v="4"/>
    <s v="N/A"/>
    <x v="0"/>
    <x v="81"/>
    <x v="1"/>
    <n v="2019"/>
    <s v="Full AMNOG dossier"/>
    <s v="Ongoing"/>
    <s v="Liso-Cel"/>
  </r>
  <r>
    <n v="150"/>
    <x v="4"/>
    <x v="4"/>
    <s v="N/A"/>
    <x v="0"/>
    <x v="82"/>
    <x v="1"/>
    <n v="2019"/>
    <s v="AMNOG Dossier resubmission "/>
    <s v="Ongoing"/>
    <s v="Everolimus-Lenvatinib"/>
  </r>
  <r>
    <n v="151"/>
    <x v="4"/>
    <x v="4"/>
    <s v="N/A"/>
    <x v="0"/>
    <x v="83"/>
    <x v="1"/>
    <n v="2019"/>
    <s v="Full AMNOG dossier"/>
    <s v="Ongoing"/>
    <s v="Cometriq"/>
  </r>
  <r>
    <n v="152"/>
    <x v="4"/>
    <x v="4"/>
    <s v="N/A"/>
    <x v="5"/>
    <x v="84"/>
    <x v="1"/>
    <n v="2019"/>
    <s v="Full AMNOG dossier"/>
    <s v="Ongoing"/>
    <s v="Palovaroten"/>
  </r>
  <r>
    <n v="153"/>
    <x v="4"/>
    <x v="4"/>
    <s v="N/A"/>
    <x v="0"/>
    <x v="85"/>
    <x v="1"/>
    <n v="2019"/>
    <s v="Full AMNOG dossier"/>
    <s v="Ongoing"/>
    <s v="Gazyvaro"/>
  </r>
  <r>
    <n v="154"/>
    <x v="4"/>
    <x v="4"/>
    <s v="N/A"/>
    <x v="0"/>
    <x v="86"/>
    <x v="1"/>
    <n v="2019"/>
    <s v="Full AMNOG dossier"/>
    <s v="Ongoing"/>
    <s v="Gazyvaro"/>
  </r>
  <r>
    <n v="155"/>
    <x v="4"/>
    <x v="4"/>
    <s v="N/A"/>
    <x v="0"/>
    <x v="87"/>
    <x v="1"/>
    <n v="2019"/>
    <s v="Full AMNOG dossier"/>
    <s v="Ongoing"/>
    <s v="Gazyvaro"/>
  </r>
  <r>
    <n v="156"/>
    <x v="4"/>
    <x v="4"/>
    <s v="N/A"/>
    <x v="0"/>
    <x v="88"/>
    <x v="1"/>
    <n v="2019"/>
    <s v="Full AMNOG dossier"/>
    <s v="Ongoing"/>
    <s v="Isatuximab"/>
  </r>
  <r>
    <n v="157"/>
    <x v="4"/>
    <x v="4"/>
    <s v="N/A"/>
    <x v="9"/>
    <x v="89"/>
    <x v="1"/>
    <n v="2019"/>
    <s v="Full AMNOG dossier"/>
    <s v="Ongoing"/>
    <s v="Cefiderocol"/>
  </r>
  <r>
    <n v="158"/>
    <x v="4"/>
    <x v="4"/>
    <s v="N/A"/>
    <x v="9"/>
    <x v="90"/>
    <x v="1"/>
    <n v="2019"/>
    <s v="Full AMNOG dossier"/>
    <s v="Procedure completed - no additional benefit"/>
    <s v=" Ibalizumab"/>
  </r>
  <r>
    <n v="159"/>
    <x v="4"/>
    <x v="4"/>
    <s v="N/A"/>
    <x v="7"/>
    <x v="6"/>
    <x v="1"/>
    <n v="2019"/>
    <s v="Full AMNOG dossier"/>
    <s v="Not submitted"/>
    <s v="Symkevi"/>
  </r>
  <r>
    <n v="160"/>
    <x v="4"/>
    <x v="4"/>
    <s v="N/A"/>
    <x v="3"/>
    <x v="91"/>
    <x v="2"/>
    <n v="2020"/>
    <s v="Full AMNOG dossier"/>
    <s v="Ongoing"/>
    <s v="Icosapent ethyl"/>
  </r>
  <r>
    <n v="161"/>
    <x v="4"/>
    <x v="4"/>
    <s v="N/A"/>
    <x v="0"/>
    <x v="65"/>
    <x v="2"/>
    <n v="2020"/>
    <s v="Full AMNOG dossier"/>
    <s v="Ongoing"/>
    <s v="Sotorasib "/>
  </r>
  <r>
    <n v="162"/>
    <x v="4"/>
    <x v="4"/>
    <s v="N/A"/>
    <x v="0"/>
    <x v="41"/>
    <x v="2"/>
    <n v="2020"/>
    <s v="Early G-BA advice"/>
    <s v="Completed"/>
    <s v="AMG 330"/>
  </r>
  <r>
    <n v="163"/>
    <x v="4"/>
    <x v="4"/>
    <s v="N/A"/>
    <x v="0"/>
    <x v="81"/>
    <x v="2"/>
    <n v="2020"/>
    <s v="Systematic Literature- and study registry search and Delphi Panel"/>
    <s v="Ongoing"/>
    <s v="CAR T"/>
  </r>
  <r>
    <n v="164"/>
    <x v="4"/>
    <x v="4"/>
    <s v="N/A"/>
    <x v="0"/>
    <x v="92"/>
    <x v="2"/>
    <n v="2020"/>
    <s v="Full AMNOG dossier"/>
    <s v="Pending"/>
    <s v="Lenvima plus Everolimus"/>
  </r>
  <r>
    <n v="165"/>
    <x v="4"/>
    <x v="4"/>
    <s v="N/A"/>
    <x v="0"/>
    <x v="93"/>
    <x v="2"/>
    <n v="2020"/>
    <s v="Full AMNOG dossier"/>
    <s v="Procedure completed - no additional benefit"/>
    <s v="Lenvatinib plus Pembrolizumab"/>
  </r>
  <r>
    <n v="166"/>
    <x v="4"/>
    <x v="4"/>
    <s v="N/A"/>
    <x v="13"/>
    <x v="66"/>
    <x v="2"/>
    <n v="2020"/>
    <s v="Full AMNOG dossier"/>
    <s v="Pending"/>
    <s v="Perampanel"/>
  </r>
  <r>
    <n v="167"/>
    <x v="4"/>
    <x v="4"/>
    <s v="N/A"/>
    <x v="0"/>
    <x v="94"/>
    <x v="2"/>
    <n v="2020"/>
    <s v="Full AMNOG dossier"/>
    <s v="Not submitted"/>
    <s v="Lumoxiti"/>
  </r>
  <r>
    <n v="168"/>
    <x v="4"/>
    <x v="4"/>
    <s v="N/A"/>
    <x v="0"/>
    <x v="95"/>
    <x v="2"/>
    <n v="2020"/>
    <s v="G-BA advice"/>
    <s v="Completed"/>
    <s v="Cabozantinib-Nivolumab"/>
  </r>
  <r>
    <n v="169"/>
    <x v="4"/>
    <x v="4"/>
    <s v="N/A"/>
    <x v="0"/>
    <x v="95"/>
    <x v="2"/>
    <n v="2020"/>
    <s v="Full AMNOG dossier"/>
    <s v="Procedure completed -   Indication of significant additional benefit"/>
    <s v="Cabozantinib-Nivolumab"/>
  </r>
  <r>
    <n v="170"/>
    <x v="4"/>
    <x v="4"/>
    <s v="N/A"/>
    <x v="5"/>
    <x v="96"/>
    <x v="2"/>
    <n v="2020"/>
    <s v="Full AMNOG dossier"/>
    <s v="Pending"/>
    <s v="Guselkumab"/>
  </r>
  <r>
    <n v="171"/>
    <x v="4"/>
    <x v="4"/>
    <s v="N/A"/>
    <x v="14"/>
    <x v="97"/>
    <x v="2"/>
    <n v="2020"/>
    <s v="Derivation of the appropriate comparator therapy for early G-BA consultation"/>
    <s v="Completed"/>
    <s v="Depression"/>
  </r>
  <r>
    <n v="172"/>
    <x v="4"/>
    <x v="4"/>
    <s v="N/A"/>
    <x v="13"/>
    <x v="98"/>
    <x v="2"/>
    <n v="2020"/>
    <s v="Parts of AMNOG dossier"/>
    <s v="Ongoing"/>
    <s v="Ponesimod"/>
  </r>
  <r>
    <n v="173"/>
    <x v="4"/>
    <x v="4"/>
    <s v="Other"/>
    <x v="8"/>
    <x v="99"/>
    <x v="2"/>
    <n v="2020"/>
    <s v="Full AMNOG dossier"/>
    <s v="Ongoing"/>
    <s v="Tralokinumab"/>
  </r>
  <r>
    <n v="174"/>
    <x v="4"/>
    <x v="4"/>
    <s v="N/A"/>
    <x v="13"/>
    <x v="100"/>
    <x v="2"/>
    <n v="2020"/>
    <s v="Network meta-analysis (NMA) of seven active ingredients_x000a_Analysis of weak points of the NMA_x000a_Publication of the results_x000a_Statement on IQWiG's NMA"/>
    <s v="Ongoing"/>
    <s v="Cladribin"/>
  </r>
  <r>
    <n v="175"/>
    <x v="4"/>
    <x v="4"/>
    <s v="N/A"/>
    <x v="10"/>
    <x v="101"/>
    <x v="2"/>
    <n v="2020"/>
    <s v="Full AMNOG dossier"/>
    <m/>
    <s v="Luxturna"/>
  </r>
  <r>
    <n v="176"/>
    <x v="4"/>
    <x v="4"/>
    <s v="N/A"/>
    <x v="0"/>
    <x v="102"/>
    <x v="2"/>
    <n v="2020"/>
    <s v="Early G-BA advice"/>
    <s v="Ongoing"/>
    <s v="Elranatamab"/>
  </r>
  <r>
    <n v="177"/>
    <x v="4"/>
    <x v="4"/>
    <s v="N/A"/>
    <x v="6"/>
    <x v="103"/>
    <x v="2"/>
    <n v="2020"/>
    <s v="Horizon scanning _x000a_Best-practice-derived recommendations "/>
    <s v="Completed"/>
    <m/>
  </r>
  <r>
    <n v="178"/>
    <x v="4"/>
    <x v="4"/>
    <s v="N/A"/>
    <x v="6"/>
    <x v="103"/>
    <x v="2"/>
    <n v="2020"/>
    <s v="Comprehensive overview of HTA processes _x000a_Identification of hurdles and success factors_x000a_Best-practice-derived recommendations"/>
    <s v="Completed"/>
    <m/>
  </r>
  <r>
    <n v="179"/>
    <x v="4"/>
    <x v="4"/>
    <s v="N/A"/>
    <x v="0"/>
    <x v="104"/>
    <x v="2"/>
    <n v="2020"/>
    <s v="Full AMNOG dossier"/>
    <s v="Pending"/>
    <s v="Cemiplimab"/>
  </r>
  <r>
    <n v="180"/>
    <x v="4"/>
    <x v="4"/>
    <s v="N/A"/>
    <x v="0"/>
    <x v="65"/>
    <x v="2"/>
    <n v="2020"/>
    <s v="Full AMNOG dossier"/>
    <s v="Pending"/>
    <s v="Cemiplimab"/>
  </r>
  <r>
    <n v="181"/>
    <x v="4"/>
    <x v="4"/>
    <s v="N/A"/>
    <x v="0"/>
    <x v="105"/>
    <x v="2"/>
    <n v="2020"/>
    <s v="Full AMNOG dossier"/>
    <s v="Pending"/>
    <s v="Isatuximab"/>
  </r>
  <r>
    <n v="182"/>
    <x v="4"/>
    <x v="4"/>
    <s v="N/A"/>
    <x v="0"/>
    <x v="106"/>
    <x v="2"/>
    <n v="2020"/>
    <s v="Full AMNOG dossier"/>
    <s v="Pending"/>
    <s v="Isatuximab"/>
  </r>
  <r>
    <n v="183"/>
    <x v="4"/>
    <x v="4"/>
    <s v="N/A"/>
    <x v="7"/>
    <x v="107"/>
    <x v="2"/>
    <n v="2020"/>
    <s v="Full AMNOG dossier"/>
    <s v="Not submitted"/>
    <s v="Olipudase Alfa"/>
  </r>
  <r>
    <n v="184"/>
    <x v="4"/>
    <x v="4"/>
    <s v="N/A"/>
    <x v="10"/>
    <x v="108"/>
    <x v="2"/>
    <n v="2020"/>
    <s v="Full AMNOG dossier"/>
    <s v="Pending"/>
    <s v="Levofloxacin"/>
  </r>
  <r>
    <n v="185"/>
    <x v="4"/>
    <x v="4"/>
    <s v="N/A"/>
    <x v="0"/>
    <x v="109"/>
    <x v="0"/>
    <n v="2021"/>
    <s v="Full AMNOG dossier"/>
    <s v="Ongoing"/>
    <s v="Levantinib plus pembrolizumab"/>
  </r>
  <r>
    <n v="186"/>
    <x v="4"/>
    <x v="4"/>
    <s v="N/A"/>
    <x v="0"/>
    <x v="110"/>
    <x v="0"/>
    <n v="2021"/>
    <s v="G-BA advice"/>
    <s v="Ongoing"/>
    <s v="Cabozantinib in Combination with Atezolizumab"/>
  </r>
  <r>
    <n v="187"/>
    <x v="4"/>
    <x v="4"/>
    <s v="N/A"/>
    <x v="9"/>
    <x v="111"/>
    <x v="0"/>
    <n v="2021"/>
    <s v="Parts of AMNOG dossier"/>
    <s v="Ongoing"/>
    <s v="MK-7110"/>
  </r>
  <r>
    <n v="188"/>
    <x v="4"/>
    <x v="4"/>
    <s v="N/A"/>
    <x v="9"/>
    <x v="111"/>
    <x v="0"/>
    <n v="2021"/>
    <s v="Parts of AMNOG dossier"/>
    <s v="Ongoing"/>
    <s v="Molnupiravir"/>
  </r>
  <r>
    <n v="189"/>
    <x v="4"/>
    <x v="4"/>
    <s v="N/A"/>
    <x v="9"/>
    <x v="19"/>
    <x v="0"/>
    <n v="2021"/>
    <s v="Full AMNOG dossier"/>
    <s v="Ongoing"/>
    <s v="Zepatier"/>
  </r>
  <r>
    <n v="190"/>
    <x v="4"/>
    <x v="4"/>
    <s v="N/A"/>
    <x v="14"/>
    <x v="112"/>
    <x v="0"/>
    <n v="2021"/>
    <s v="Pricing and reimbursment"/>
    <s v="Ongoing"/>
    <s v="Rovi"/>
  </r>
  <r>
    <n v="191"/>
    <x v="4"/>
    <x v="4"/>
    <s v="N/A"/>
    <x v="9"/>
    <x v="90"/>
    <x v="0"/>
    <n v="2021"/>
    <s v="Full AMNOG dossier"/>
    <s v="Completed"/>
    <s v="Ibalizumab"/>
  </r>
  <r>
    <n v="192"/>
    <x v="5"/>
    <x v="5"/>
    <s v="N/A"/>
    <x v="4"/>
    <x v="6"/>
    <x v="0"/>
    <n v="2021"/>
    <s v="BIM"/>
    <s v="X"/>
    <s v="Symkevi®"/>
  </r>
  <r>
    <n v="193"/>
    <x v="5"/>
    <x v="5"/>
    <s v="N/A"/>
    <x v="13"/>
    <x v="100"/>
    <x v="0"/>
    <n v="2021"/>
    <s v="BIM"/>
    <s v="X"/>
    <s v="Tysabri®"/>
  </r>
  <r>
    <n v="194"/>
    <x v="5"/>
    <x v="5"/>
    <s v="N/A"/>
    <x v="7"/>
    <x v="113"/>
    <x v="2"/>
    <n v="2020"/>
    <s v="DV"/>
    <s v="X"/>
    <s v="Natpar"/>
  </r>
  <r>
    <n v="195"/>
    <x v="5"/>
    <x v="5"/>
    <s v="N/A"/>
    <x v="0"/>
    <x v="114"/>
    <x v="2"/>
    <n v="2020"/>
    <s v="DV, BIM"/>
    <s v="X"/>
    <s v="Enhertu®"/>
  </r>
  <r>
    <n v="196"/>
    <x v="5"/>
    <x v="5"/>
    <s v="N/A"/>
    <x v="13"/>
    <x v="115"/>
    <x v="2"/>
    <n v="2020"/>
    <s v="DV, BIM"/>
    <s v="X"/>
    <s v="PLASMA EXCHANGE WITH ALBUMIN "/>
  </r>
  <r>
    <n v="197"/>
    <x v="5"/>
    <x v="5"/>
    <s v="N/A"/>
    <x v="3"/>
    <x v="116"/>
    <x v="2"/>
    <n v="2020"/>
    <s v="BIM"/>
    <s v="X"/>
    <s v="Budget impact of NACOs reimbursment in DVT and EP"/>
  </r>
  <r>
    <n v="198"/>
    <x v="5"/>
    <x v="5"/>
    <s v="N/A"/>
    <x v="13"/>
    <x v="112"/>
    <x v="2"/>
    <n v="2020"/>
    <s v="DV, BIM"/>
    <s v="X"/>
    <s v="Risperidone ISM® "/>
  </r>
  <r>
    <n v="199"/>
    <x v="5"/>
    <x v="5"/>
    <s v="N/A"/>
    <x v="3"/>
    <x v="117"/>
    <x v="1"/>
    <n v="2019"/>
    <s v="DV"/>
    <s v="X"/>
    <s v="Remodulin®"/>
  </r>
  <r>
    <n v="200"/>
    <x v="5"/>
    <x v="5"/>
    <s v="N/A"/>
    <x v="3"/>
    <x v="118"/>
    <x v="1"/>
    <n v="2019"/>
    <s v="DV"/>
    <s v="X"/>
    <s v="Somazina®"/>
  </r>
  <r>
    <n v="201"/>
    <x v="5"/>
    <x v="5"/>
    <s v="N/A"/>
    <x v="0"/>
    <x v="119"/>
    <x v="1"/>
    <n v="2019"/>
    <s v="Burden of disease economic model"/>
    <s v="X"/>
    <s v="Venclyxto®"/>
  </r>
  <r>
    <n v="202"/>
    <x v="5"/>
    <x v="5"/>
    <s v="N/A"/>
    <x v="7"/>
    <x v="39"/>
    <x v="1"/>
    <n v="2019"/>
    <s v="DV, BIM, CEM"/>
    <s v="X"/>
    <s v="Nilemdo®"/>
  </r>
  <r>
    <n v="203"/>
    <x v="5"/>
    <x v="5"/>
    <s v="N/A"/>
    <x v="0"/>
    <x v="120"/>
    <x v="1"/>
    <n v="2019"/>
    <s v="DV, BIM"/>
    <s v="X"/>
    <s v="Adcetris®"/>
  </r>
  <r>
    <n v="204"/>
    <x v="5"/>
    <x v="5"/>
    <s v="N/A"/>
    <x v="3"/>
    <x v="121"/>
    <x v="1"/>
    <n v="2019"/>
    <s v="DV"/>
    <s v="X"/>
    <s v="Kengrexal®"/>
  </r>
  <r>
    <n v="205"/>
    <x v="5"/>
    <x v="5"/>
    <s v="N/A"/>
    <x v="4"/>
    <x v="122"/>
    <x v="1"/>
    <n v="2019"/>
    <s v="CEM"/>
    <s v="X"/>
    <s v="Dupilumab"/>
  </r>
  <r>
    <n v="206"/>
    <x v="5"/>
    <x v="5"/>
    <s v="N/A"/>
    <x v="0"/>
    <x v="123"/>
    <x v="3"/>
    <n v="2018"/>
    <s v="DV, BIM, CEM"/>
    <s v="X"/>
    <s v="Braftovi® &amp; Mektovi® "/>
  </r>
  <r>
    <n v="207"/>
    <x v="5"/>
    <x v="5"/>
    <s v="N/A"/>
    <x v="0"/>
    <x v="124"/>
    <x v="3"/>
    <n v="2018"/>
    <s v="DV"/>
    <s v="X"/>
    <s v="Ninlaro®"/>
  </r>
  <r>
    <n v="208"/>
    <x v="5"/>
    <x v="5"/>
    <s v="N/A"/>
    <x v="0"/>
    <x v="125"/>
    <x v="3"/>
    <n v="2018"/>
    <s v="CEM"/>
    <s v="X"/>
    <s v="Risankizumab"/>
  </r>
  <r>
    <n v="209"/>
    <x v="5"/>
    <x v="5"/>
    <s v="N/A"/>
    <x v="5"/>
    <x v="54"/>
    <x v="3"/>
    <n v="2018"/>
    <s v="CEM, BIM"/>
    <s v="X"/>
    <s v="Upadacitinib (Rinvoq®)"/>
  </r>
  <r>
    <n v="210"/>
    <x v="5"/>
    <x v="5"/>
    <s v="N/A"/>
    <x v="4"/>
    <x v="122"/>
    <x v="3"/>
    <n v="2018"/>
    <s v="CEM, BIM"/>
    <s v="X"/>
    <s v="Acarizax®"/>
  </r>
  <r>
    <n v="211"/>
    <x v="5"/>
    <x v="5"/>
    <s v="N/A"/>
    <x v="7"/>
    <x v="126"/>
    <x v="3"/>
    <n v="2018"/>
    <s v="BIM"/>
    <s v="X"/>
    <s v="Empagliflozina"/>
  </r>
  <r>
    <n v="212"/>
    <x v="5"/>
    <x v="5"/>
    <s v="N/A"/>
    <x v="8"/>
    <x v="127"/>
    <x v="3"/>
    <n v="2018"/>
    <s v="BIM"/>
    <s v="X"/>
    <s v="Risankizumab"/>
  </r>
  <r>
    <n v="213"/>
    <x v="5"/>
    <x v="5"/>
    <s v="N/A"/>
    <x v="9"/>
    <x v="128"/>
    <x v="4"/>
    <n v="2017"/>
    <s v="VD"/>
    <s v="X"/>
    <s v="VaxigripTetraTM"/>
  </r>
  <r>
    <n v="214"/>
    <x v="5"/>
    <x v="5"/>
    <s v="N/A"/>
    <x v="7"/>
    <x v="43"/>
    <x v="4"/>
    <n v="2017"/>
    <s v="BIM"/>
    <s v="X"/>
    <s v="Lokelma®"/>
  </r>
  <r>
    <n v="215"/>
    <x v="5"/>
    <x v="5"/>
    <s v="N/A"/>
    <x v="7"/>
    <x v="126"/>
    <x v="4"/>
    <n v="2017"/>
    <s v="VD"/>
    <s v="X"/>
    <s v="Glyxambi®"/>
  </r>
  <r>
    <n v="216"/>
    <x v="5"/>
    <x v="5"/>
    <s v="N/A"/>
    <x v="6"/>
    <x v="129"/>
    <x v="4"/>
    <n v="2017"/>
    <s v="Pricing stategy and position dosier"/>
    <s v="X"/>
    <s v="PET/MRI"/>
  </r>
  <r>
    <n v="217"/>
    <x v="5"/>
    <x v="5"/>
    <s v="N/A"/>
    <x v="12"/>
    <x v="130"/>
    <x v="4"/>
    <n v="2017"/>
    <s v="Economic model"/>
    <s v="X"/>
    <s v="Entyvio"/>
  </r>
  <r>
    <n v="218"/>
    <x v="5"/>
    <x v="5"/>
    <s v="N/A"/>
    <x v="4"/>
    <x v="131"/>
    <x v="4"/>
    <n v="2017"/>
    <s v="VD"/>
    <s v="X"/>
    <s v="Respimat"/>
  </r>
  <r>
    <n v="219"/>
    <x v="5"/>
    <x v="5"/>
    <s v="N/A"/>
    <x v="10"/>
    <x v="132"/>
    <x v="5"/>
    <n v="2016"/>
    <s v="BIM"/>
    <s v="X"/>
    <s v="Adalimumab"/>
  </r>
  <r>
    <n v="220"/>
    <x v="5"/>
    <x v="5"/>
    <s v="N/A"/>
    <x v="13"/>
    <x v="66"/>
    <x v="5"/>
    <n v="2016"/>
    <s v="DV"/>
    <s v="X"/>
    <s v="subpopulation epilepsy"/>
  </r>
  <r>
    <n v="221"/>
    <x v="5"/>
    <x v="5"/>
    <s v="N/A"/>
    <x v="0"/>
    <x v="133"/>
    <x v="5"/>
    <n v="2016"/>
    <s v="CEM"/>
    <s v="X"/>
    <s v="Xofigo"/>
  </r>
  <r>
    <n v="222"/>
    <x v="5"/>
    <x v="5"/>
    <s v="N/A"/>
    <x v="8"/>
    <x v="134"/>
    <x v="5"/>
    <n v="2016"/>
    <s v="CEM"/>
    <s v="X"/>
    <s v="Estilar"/>
  </r>
  <r>
    <n v="223"/>
    <x v="5"/>
    <x v="5"/>
    <s v="N/A"/>
    <x v="5"/>
    <x v="135"/>
    <x v="5"/>
    <n v="2016"/>
    <s v="CEM"/>
    <s v="X"/>
    <s v="Sarilumab"/>
  </r>
  <r>
    <n v="224"/>
    <x v="5"/>
    <x v="5"/>
    <s v="N/A"/>
    <x v="13"/>
    <x v="136"/>
    <x v="5"/>
    <n v="2016"/>
    <s v="VD"/>
    <m/>
    <s v="Tebofortan"/>
  </r>
  <r>
    <n v="225"/>
    <x v="5"/>
    <x v="5"/>
    <s v="N/A"/>
    <x v="8"/>
    <x v="134"/>
    <x v="5"/>
    <n v="2016"/>
    <s v="VD"/>
    <s v="X"/>
    <s v="Brodalumab"/>
  </r>
  <r>
    <n v="226"/>
    <x v="5"/>
    <x v="5"/>
    <s v="N/A"/>
    <x v="7"/>
    <x v="137"/>
    <x v="5"/>
    <n v="2016"/>
    <s v="CEM"/>
    <s v="X"/>
    <s v="Empagliflozina"/>
  </r>
  <r>
    <n v="227"/>
    <x v="5"/>
    <x v="5"/>
    <s v="N/A"/>
    <x v="7"/>
    <x v="137"/>
    <x v="6"/>
    <n v="2015"/>
    <s v="VD"/>
    <s v="X"/>
    <s v="Toujeo"/>
  </r>
  <r>
    <n v="228"/>
    <x v="5"/>
    <x v="5"/>
    <s v="N/A"/>
    <x v="8"/>
    <x v="138"/>
    <x v="6"/>
    <n v="2015"/>
    <s v="CEM"/>
    <s v="X"/>
    <s v="Humira"/>
  </r>
  <r>
    <n v="229"/>
    <x v="5"/>
    <x v="5"/>
    <s v="N/A"/>
    <x v="7"/>
    <x v="137"/>
    <x v="6"/>
    <n v="2015"/>
    <s v="Core Diabetes Model"/>
    <s v="X"/>
    <s v="None"/>
  </r>
  <r>
    <n v="230"/>
    <x v="5"/>
    <x v="5"/>
    <s v="N/A"/>
    <x v="8"/>
    <x v="134"/>
    <x v="6"/>
    <n v="2015"/>
    <s v="CEM"/>
    <s v="X"/>
    <s v="Ixekizumab"/>
  </r>
  <r>
    <n v="231"/>
    <x v="5"/>
    <x v="5"/>
    <s v="N/A"/>
    <x v="7"/>
    <x v="137"/>
    <x v="6"/>
    <n v="2015"/>
    <s v="VD"/>
    <s v="X"/>
    <s v="Jardiance"/>
  </r>
  <r>
    <n v="232"/>
    <x v="6"/>
    <x v="6"/>
    <s v="AIFA Technology appraisals"/>
    <x v="0"/>
    <x v="139"/>
    <x v="3"/>
    <n v="2018"/>
    <s v="P&amp;R Dossier Development"/>
    <s v="Class C"/>
    <s v="Xtandi (enzalutamide)"/>
  </r>
  <r>
    <n v="233"/>
    <x v="6"/>
    <x v="6"/>
    <s v="AIFA Technology appraisals"/>
    <x v="1"/>
    <x v="140"/>
    <x v="3"/>
    <n v="2018"/>
    <s v="P&amp;R Dossier Development"/>
    <s v="Reimbursed"/>
    <s v="Gamunex"/>
  </r>
  <r>
    <n v="234"/>
    <x v="6"/>
    <x v="6"/>
    <s v="AIFA Technology appraisals"/>
    <x v="9"/>
    <x v="141"/>
    <x v="3"/>
    <n v="2018"/>
    <s v="P&amp;R Dossier Development_x000a_Pharmacoeconomics Models Adaptation"/>
    <s v="Reimbursed"/>
    <s v="Tetanus Gamma"/>
  </r>
  <r>
    <n v="235"/>
    <x v="6"/>
    <x v="6"/>
    <s v="AIFA Technology appraisals"/>
    <x v="13"/>
    <x v="112"/>
    <x v="3"/>
    <n v="2018"/>
    <s v="P&amp;R Dossier Development_x000a_Pharmacoeconomics Models Adaptation"/>
    <s v="Reimbursed"/>
    <s v="brexpiprazole"/>
  </r>
  <r>
    <n v="236"/>
    <x v="6"/>
    <x v="6"/>
    <s v="AIFA Technology appraisals"/>
    <x v="7"/>
    <x v="142"/>
    <x v="3"/>
    <n v="2018"/>
    <s v="P&amp;R Dossier Development_x000a_Support with AIFA negotiation"/>
    <s v="Reimbursed"/>
    <s v="Salagen"/>
  </r>
  <r>
    <n v="237"/>
    <x v="6"/>
    <x v="6"/>
    <s v="AIFA Technology appraisals"/>
    <x v="7"/>
    <x v="143"/>
    <x v="3"/>
    <n v="2018"/>
    <s v="P&amp;R Dossier Development"/>
    <s v="Re-negotiated"/>
    <s v="Laronidase (aldurazyme)"/>
  </r>
  <r>
    <n v="238"/>
    <x v="6"/>
    <x v="6"/>
    <s v="AIFA Technology appraisals"/>
    <x v="0"/>
    <x v="41"/>
    <x v="1"/>
    <n v="2019"/>
    <s v="P&amp;R Dossier Development_x000a_Pharmacoeconomics Models Adaptation_x000a_Innovativeness request"/>
    <s v="Reimbursed &amp; Innovative"/>
    <s v="Xospata (gilteritinib)"/>
  </r>
  <r>
    <n v="239"/>
    <x v="6"/>
    <x v="6"/>
    <s v="AIFA Technology appraisals"/>
    <x v="12"/>
    <x v="144"/>
    <x v="1"/>
    <n v="2019"/>
    <s v="P&amp;R Dossier Development_x000a_Support with AIFA negotiation"/>
    <s v="Reimbursed"/>
    <s v="Deursil (ursodeoxycholic acid)"/>
  </r>
  <r>
    <n v="240"/>
    <x v="6"/>
    <x v="6"/>
    <s v="AIFA Technology appraisals"/>
    <x v="4"/>
    <x v="131"/>
    <x v="1"/>
    <n v="2019"/>
    <s v="Pharmacoeconomics Models Adaptation"/>
    <s v="Reimbursed"/>
    <s v="Fluticasone furoate / umeclidinium bromide / vilanterol"/>
  </r>
  <r>
    <n v="241"/>
    <x v="6"/>
    <x v="6"/>
    <s v="AIFA Technology appraisals"/>
    <x v="9"/>
    <x v="128"/>
    <x v="1"/>
    <n v="2019"/>
    <s v="P&amp;R Dossier Development_x000a_Pharmacoeconomics Models Adaptation"/>
    <s v="Class C"/>
    <s v="Flucelvax QIVc (quadrivalent  vaccine)"/>
  </r>
  <r>
    <n v="242"/>
    <x v="6"/>
    <x v="6"/>
    <s v="AIFA Technology appraisals"/>
    <x v="13"/>
    <x v="27"/>
    <x v="1"/>
    <n v="2019"/>
    <s v="P&amp;R Dossier Development"/>
    <s v="Reimbursed"/>
    <s v="Xiapex (clostridium Histolyticum)"/>
  </r>
  <r>
    <n v="243"/>
    <x v="6"/>
    <x v="6"/>
    <s v="AIFA Technology appraisals"/>
    <x v="7"/>
    <x v="145"/>
    <x v="1"/>
    <n v="2019"/>
    <s v="Pharmacoeconomics Models Adaptation"/>
    <s v="EMA withdrawn"/>
    <s v="Gamifant (emapalumab)"/>
  </r>
  <r>
    <n v="244"/>
    <x v="6"/>
    <x v="6"/>
    <s v="AIFA Technology appraisals"/>
    <x v="3"/>
    <x v="10"/>
    <x v="2"/>
    <n v="2020"/>
    <s v="P&amp;R Dossier Development_x000a_Pharmacoeconomics Models Adaptation_x000a_Innovativeness request"/>
    <s v="Ongoing"/>
    <s v="Vazkepa (icosapent ethyl)"/>
  </r>
  <r>
    <n v="245"/>
    <x v="6"/>
    <x v="6"/>
    <s v="AIFA Technology appraisals"/>
    <x v="13"/>
    <x v="112"/>
    <x v="2"/>
    <n v="2020"/>
    <s v="P&amp;R Dossier Development"/>
    <s v="Under AIFA evaluation"/>
    <s v="lurasidone"/>
  </r>
  <r>
    <n v="246"/>
    <x v="6"/>
    <x v="6"/>
    <s v="AIFA Technology appraisals"/>
    <x v="0"/>
    <x v="146"/>
    <x v="2"/>
    <n v="2020"/>
    <s v="P&amp;R Dossier Development_x000a_Pharmacoeconomics Models Adaptation"/>
    <s v="Ongoing"/>
    <s v="Xtandi (enzalutamide)"/>
  </r>
  <r>
    <n v="247"/>
    <x v="6"/>
    <x v="6"/>
    <s v="AIFA Technology appraisals"/>
    <x v="4"/>
    <x v="147"/>
    <x v="2"/>
    <n v="2020"/>
    <s v="Pharmacoeconomics Models Adaptation"/>
    <s v="Under AIFA evaluation"/>
    <s v="Ofev (nintedanib)"/>
  </r>
  <r>
    <n v="248"/>
    <x v="6"/>
    <x v="6"/>
    <s v="AIFA Technology appraisals"/>
    <x v="4"/>
    <x v="148"/>
    <x v="2"/>
    <n v="2020"/>
    <s v="Pharmacoeconomics Models Adaptation"/>
    <s v="Under AIFA evaluation"/>
    <s v="Ofev (nintedanib)"/>
  </r>
  <r>
    <n v="249"/>
    <x v="6"/>
    <x v="6"/>
    <s v="AIFA Technology appraisals"/>
    <x v="0"/>
    <x v="149"/>
    <x v="2"/>
    <n v="2020"/>
    <s v="Pharmacoeconomics Models Adaptation_x000a_Innovativeness request"/>
    <s v="Under AIFA evaluation"/>
    <s v="Zejula (niraparib)"/>
  </r>
  <r>
    <n v="250"/>
    <x v="6"/>
    <x v="6"/>
    <s v="AIFA Technology appraisals"/>
    <x v="0"/>
    <x v="150"/>
    <x v="2"/>
    <n v="2020"/>
    <s v="Pharmacoeconomics Models Adaptation_x000a_Innovativeness request"/>
    <s v="Under AIFA evaluation"/>
    <s v="dostarlimab"/>
  </r>
  <r>
    <n v="251"/>
    <x v="6"/>
    <x v="6"/>
    <s v="AIFA Technology appraisals"/>
    <x v="0"/>
    <x v="102"/>
    <x v="2"/>
    <n v="2020"/>
    <s v="Pharmacoeconomics Models Adaptation_x000a_Innovativeness request"/>
    <s v="Under AIFA evaluation"/>
    <s v="Blenrep (belantamab)"/>
  </r>
  <r>
    <n v="252"/>
    <x v="6"/>
    <x v="6"/>
    <s v="AIFA Technology appraisals"/>
    <x v="1"/>
    <x v="151"/>
    <x v="2"/>
    <n v="2020"/>
    <s v="P&amp;R Dossier Development"/>
    <s v="Under AIFA evaluation"/>
    <s v="Veraseal"/>
  </r>
  <r>
    <n v="253"/>
    <x v="6"/>
    <x v="6"/>
    <s v="AIFA Technology appraisals"/>
    <x v="9"/>
    <x v="152"/>
    <x v="2"/>
    <n v="2020"/>
    <s v="Pharmacoeconomics Models Adaptation"/>
    <s v="Ongoing"/>
    <s v="delafloxacin"/>
  </r>
  <r>
    <n v="254"/>
    <x v="6"/>
    <x v="6"/>
    <s v="AIFA Technology appraisals"/>
    <x v="9"/>
    <x v="153"/>
    <x v="2"/>
    <n v="2020"/>
    <s v="Pharmacoeconomics Models Adaptation"/>
    <s v="Reimbursed"/>
    <s v="Vaborem (meropenem &amp; vaborbactam)"/>
  </r>
  <r>
    <n v="255"/>
    <x v="6"/>
    <x v="6"/>
    <s v="AIFA Technology appraisals"/>
    <x v="9"/>
    <x v="153"/>
    <x v="2"/>
    <n v="2020"/>
    <s v="Pharmacoeconomics Models Adaptation"/>
    <s v="Under AIFA evaluation"/>
    <s v="Orbactiv (oritavacin)"/>
  </r>
  <r>
    <n v="256"/>
    <x v="6"/>
    <x v="6"/>
    <s v="AIFA Technology appraisals"/>
    <x v="0"/>
    <x v="154"/>
    <x v="2"/>
    <n v="2020"/>
    <s v="P&amp;R Dossier Development"/>
    <s v="Under AIFA evaluation"/>
    <s v="Mozobil (plerixafor)"/>
  </r>
  <r>
    <n v="257"/>
    <x v="6"/>
    <x v="6"/>
    <s v="AIFA Technology appraisals"/>
    <x v="7"/>
    <x v="155"/>
    <x v="2"/>
    <n v="2020"/>
    <s v="P&amp;R Dossier Development_x000a_Pharmacoeconomics Models Adaptation_x000a_Innovativeness request"/>
    <s v="Reimbursed"/>
    <s v="Takhzyro (lanadelumab)"/>
  </r>
  <r>
    <n v="258"/>
    <x v="6"/>
    <x v="6"/>
    <s v="AIFA Technology appraisals"/>
    <x v="1"/>
    <x v="156"/>
    <x v="2"/>
    <n v="2020"/>
    <s v="P&amp;R Dossier Development_x000a_Pharmacoeconomics Models Adaptation_x000a_Innovativeness request"/>
    <s v="Under AIFA evaluation"/>
    <s v="Doptelet (avatrombopag)"/>
  </r>
  <r>
    <n v="259"/>
    <x v="6"/>
    <x v="6"/>
    <s v="AIFA Technology appraisals"/>
    <x v="0"/>
    <x v="157"/>
    <x v="2"/>
    <n v="2020"/>
    <s v="Pharmacoeconomics Models Adaptation"/>
    <s v="Under AIFA evaluation"/>
    <s v="Adcetris (brentuximab vedotin)"/>
  </r>
  <r>
    <n v="260"/>
    <x v="6"/>
    <x v="6"/>
    <s v="AIFA Technology appraisals"/>
    <x v="9"/>
    <x v="158"/>
    <x v="2"/>
    <n v="2020"/>
    <s v="P&amp;R Dossier Development_x000a_Pharmacoeconomics Models Adaptation_x000a_Innovativeness request_x000a_Support with AIFA negotiation"/>
    <s v="Under AIFA evaluation"/>
    <s v="Trogarzo (ibalizumab)"/>
  </r>
  <r>
    <n v="261"/>
    <x v="6"/>
    <x v="6"/>
    <s v="AIFA Technology appraisals"/>
    <x v="5"/>
    <x v="54"/>
    <x v="0"/>
    <n v="2021"/>
    <s v="P&amp;R Dossier development"/>
    <s v="Ongoing"/>
    <s v="Orencia"/>
  </r>
  <r>
    <n v="262"/>
    <x v="6"/>
    <x v="6"/>
    <s v="AIFA Technology appraisals"/>
    <x v="0"/>
    <x v="159"/>
    <x v="0"/>
    <n v="2021"/>
    <s v="P&amp;R Dossier development"/>
    <s v="Ongoing"/>
    <s v="Opdivo (nivolumab)"/>
  </r>
  <r>
    <n v="263"/>
    <x v="6"/>
    <x v="6"/>
    <s v="AIFA Technology appraisals"/>
    <x v="0"/>
    <x v="41"/>
    <x v="0"/>
    <n v="2021"/>
    <s v="P&amp;R Dossier development"/>
    <s v="Ongoing"/>
    <s v="Onureg (azacitidina)"/>
  </r>
  <r>
    <n v="264"/>
    <x v="6"/>
    <x v="6"/>
    <s v="AIFA Technology appraisals"/>
    <x v="12"/>
    <x v="160"/>
    <x v="0"/>
    <n v="2021"/>
    <s v="P&amp;R Dossier development"/>
    <s v="Ongoing"/>
    <s v="Zeposia"/>
  </r>
  <r>
    <n v="265"/>
    <x v="6"/>
    <x v="6"/>
    <s v="AIFA Technology appraisals"/>
    <x v="0"/>
    <x v="161"/>
    <x v="0"/>
    <n v="2021"/>
    <s v="P&amp;R Dossier development"/>
    <s v="Ongoing"/>
    <s v="Opdivo (nivolumab) + chemotherapy"/>
  </r>
  <r>
    <n v="266"/>
    <x v="6"/>
    <x v="6"/>
    <s v="AIFA Technology appraisals"/>
    <x v="0"/>
    <x v="162"/>
    <x v="0"/>
    <n v="2021"/>
    <s v="P&amp;R Dossier development"/>
    <s v="Ongoing"/>
    <s v="Opdivo (nivolumab)"/>
  </r>
  <r>
    <n v="267"/>
    <x v="6"/>
    <x v="6"/>
    <s v="AIFA Technology appraisals"/>
    <x v="0"/>
    <x v="163"/>
    <x v="0"/>
    <n v="2021"/>
    <s v="P&amp;R Dossier development"/>
    <s v="Ongoing"/>
    <s v="Opdivo (nivolumab) + Yervoy (ipilimumab)"/>
  </r>
  <r>
    <n v="268"/>
    <x v="6"/>
    <x v="6"/>
    <s v="AIFA Technology appraisals"/>
    <x v="0"/>
    <x v="164"/>
    <x v="0"/>
    <n v="2021"/>
    <s v="P&amp;R Dossier development"/>
    <s v="Ongoing"/>
    <s v="Opdivo (nivolumab) + Yervoy (ipilimumab)"/>
  </r>
  <r>
    <n v="269"/>
    <x v="6"/>
    <x v="6"/>
    <s v="AIFA Technology appraisals"/>
    <x v="0"/>
    <x v="165"/>
    <x v="0"/>
    <n v="2021"/>
    <s v="P&amp;R Dossier development"/>
    <s v="Ongoing"/>
    <s v="Opdivo (nivolumab)"/>
  </r>
  <r>
    <n v="270"/>
    <x v="6"/>
    <x v="6"/>
    <s v="AIFA Technology appraisals"/>
    <x v="0"/>
    <x v="102"/>
    <x v="0"/>
    <n v="2021"/>
    <s v="P&amp;R Dossier Development"/>
    <s v="Ongoing"/>
    <s v="thalidomide"/>
  </r>
  <r>
    <n v="271"/>
    <x v="6"/>
    <x v="6"/>
    <s v="AIFA Technology appraisals"/>
    <x v="0"/>
    <x v="102"/>
    <x v="0"/>
    <n v="2021"/>
    <s v="P&amp;R Dossier Development_x000a_Pharmacoeconomics Models Adaptation"/>
    <s v="Ongoing"/>
    <s v="Abecma (idecabtagene vicleucel) CAR-T"/>
  </r>
  <r>
    <n v="272"/>
    <x v="6"/>
    <x v="6"/>
    <s v="AIFA Technology appraisals"/>
    <x v="0"/>
    <x v="166"/>
    <x v="0"/>
    <n v="2021"/>
    <s v="P&amp;R Dossier development"/>
    <s v="Ongoing"/>
    <s v="Breyanzi lisocabtagene maraleucel) CAR-T"/>
  </r>
  <r>
    <n v="273"/>
    <x v="6"/>
    <x v="6"/>
    <s v="AIFA Technology appraisals"/>
    <x v="0"/>
    <x v="167"/>
    <x v="0"/>
    <n v="2021"/>
    <s v="P&amp;R Dossier Development"/>
    <s v="Ongoing"/>
    <s v="tafasitamab"/>
  </r>
  <r>
    <n v="274"/>
    <x v="6"/>
    <x v="6"/>
    <s v="AIFA Technology appraisals"/>
    <x v="0"/>
    <x v="168"/>
    <x v="0"/>
    <n v="2021"/>
    <s v="P&amp;R Dossier Development"/>
    <s v="Under AIFA evaluation"/>
    <s v="pemigatinib"/>
  </r>
  <r>
    <n v="275"/>
    <x v="6"/>
    <x v="6"/>
    <s v="AIFA Technology appraisals"/>
    <x v="1"/>
    <x v="169"/>
    <x v="0"/>
    <n v="2021"/>
    <s v="P&amp;R Dossier Development"/>
    <s v="Ongoing"/>
    <s v="Fibriclotte"/>
  </r>
  <r>
    <n v="276"/>
    <x v="6"/>
    <x v="6"/>
    <s v="AIFA Technology appraisals"/>
    <x v="1"/>
    <x v="140"/>
    <x v="0"/>
    <n v="2021"/>
    <s v="P&amp;R Dossier Development"/>
    <s v="Ongoing"/>
    <s v="Iqymune"/>
  </r>
  <r>
    <n v="277"/>
    <x v="6"/>
    <x v="6"/>
    <s v="AIFA Technology appraisals"/>
    <x v="0"/>
    <x v="102"/>
    <x v="0"/>
    <n v="2021"/>
    <s v="P&amp;R Dossier Development"/>
    <s v="Ongoing"/>
    <s v="Sarclisa (isatuximab)"/>
  </r>
  <r>
    <n v="278"/>
    <x v="7"/>
    <x v="7"/>
    <s v="N/A"/>
    <x v="0"/>
    <x v="101"/>
    <x v="10"/>
    <m/>
    <m/>
    <m/>
    <m/>
  </r>
  <r>
    <n v="279"/>
    <x v="7"/>
    <x v="7"/>
    <s v="N/A"/>
    <x v="0"/>
    <x v="101"/>
    <x v="10"/>
    <m/>
    <m/>
    <m/>
    <m/>
  </r>
  <r>
    <n v="280"/>
    <x v="7"/>
    <x v="7"/>
    <s v="N/A"/>
    <x v="0"/>
    <x v="101"/>
    <x v="10"/>
    <m/>
    <m/>
    <m/>
    <m/>
  </r>
  <r>
    <n v="281"/>
    <x v="7"/>
    <x v="7"/>
    <s v="N/A"/>
    <x v="0"/>
    <x v="101"/>
    <x v="10"/>
    <m/>
    <m/>
    <m/>
    <m/>
  </r>
  <r>
    <n v="282"/>
    <x v="7"/>
    <x v="7"/>
    <s v="N/A"/>
    <x v="0"/>
    <x v="101"/>
    <x v="10"/>
    <m/>
    <m/>
    <m/>
    <m/>
  </r>
  <r>
    <n v="283"/>
    <x v="7"/>
    <x v="7"/>
    <s v="N/A"/>
    <x v="0"/>
    <x v="101"/>
    <x v="10"/>
    <m/>
    <m/>
    <m/>
    <m/>
  </r>
  <r>
    <n v="284"/>
    <x v="7"/>
    <x v="7"/>
    <s v="N/A"/>
    <x v="0"/>
    <x v="101"/>
    <x v="10"/>
    <m/>
    <m/>
    <m/>
    <m/>
  </r>
  <r>
    <n v="285"/>
    <x v="7"/>
    <x v="7"/>
    <s v="N/A"/>
    <x v="0"/>
    <x v="101"/>
    <x v="10"/>
    <m/>
    <m/>
    <m/>
    <m/>
  </r>
  <r>
    <n v="286"/>
    <x v="7"/>
    <x v="7"/>
    <s v="N/A"/>
    <x v="0"/>
    <x v="101"/>
    <x v="10"/>
    <m/>
    <m/>
    <m/>
    <m/>
  </r>
  <r>
    <n v="287"/>
    <x v="7"/>
    <x v="7"/>
    <s v="N/A"/>
    <x v="0"/>
    <x v="101"/>
    <x v="10"/>
    <m/>
    <m/>
    <m/>
    <m/>
  </r>
  <r>
    <n v="288"/>
    <x v="7"/>
    <x v="7"/>
    <s v="N/A"/>
    <x v="0"/>
    <x v="101"/>
    <x v="10"/>
    <m/>
    <m/>
    <m/>
    <m/>
  </r>
  <r>
    <n v="289"/>
    <x v="7"/>
    <x v="7"/>
    <s v="N/A"/>
    <x v="0"/>
    <x v="101"/>
    <x v="10"/>
    <m/>
    <m/>
    <m/>
    <m/>
  </r>
  <r>
    <n v="290"/>
    <x v="7"/>
    <x v="7"/>
    <s v="N/A"/>
    <x v="0"/>
    <x v="101"/>
    <x v="10"/>
    <m/>
    <m/>
    <m/>
    <m/>
  </r>
  <r>
    <n v="291"/>
    <x v="7"/>
    <x v="7"/>
    <s v="N/A"/>
    <x v="0"/>
    <x v="101"/>
    <x v="10"/>
    <m/>
    <m/>
    <m/>
    <m/>
  </r>
  <r>
    <n v="292"/>
    <x v="7"/>
    <x v="7"/>
    <s v="N/A"/>
    <x v="0"/>
    <x v="101"/>
    <x v="10"/>
    <m/>
    <m/>
    <m/>
    <m/>
  </r>
  <r>
    <n v="293"/>
    <x v="7"/>
    <x v="7"/>
    <s v="N/A"/>
    <x v="0"/>
    <x v="101"/>
    <x v="10"/>
    <m/>
    <m/>
    <m/>
    <m/>
  </r>
  <r>
    <n v="294"/>
    <x v="7"/>
    <x v="7"/>
    <s v="N/A"/>
    <x v="0"/>
    <x v="101"/>
    <x v="10"/>
    <m/>
    <m/>
    <m/>
    <m/>
  </r>
  <r>
    <n v="295"/>
    <x v="7"/>
    <x v="7"/>
    <s v="N/A"/>
    <x v="0"/>
    <x v="101"/>
    <x v="10"/>
    <m/>
    <m/>
    <m/>
    <m/>
  </r>
  <r>
    <n v="296"/>
    <x v="7"/>
    <x v="7"/>
    <s v="N/A"/>
    <x v="0"/>
    <x v="101"/>
    <x v="10"/>
    <m/>
    <m/>
    <m/>
    <m/>
  </r>
  <r>
    <n v="297"/>
    <x v="7"/>
    <x v="7"/>
    <s v="N/A"/>
    <x v="0"/>
    <x v="101"/>
    <x v="10"/>
    <m/>
    <m/>
    <m/>
    <m/>
  </r>
  <r>
    <n v="298"/>
    <x v="7"/>
    <x v="7"/>
    <s v="N/A"/>
    <x v="0"/>
    <x v="101"/>
    <x v="10"/>
    <m/>
    <m/>
    <m/>
    <m/>
  </r>
  <r>
    <n v="299"/>
    <x v="7"/>
    <x v="7"/>
    <s v="N/A"/>
    <x v="0"/>
    <x v="101"/>
    <x v="10"/>
    <m/>
    <m/>
    <m/>
    <m/>
  </r>
  <r>
    <n v="300"/>
    <x v="7"/>
    <x v="7"/>
    <s v="N/A"/>
    <x v="0"/>
    <x v="101"/>
    <x v="10"/>
    <m/>
    <m/>
    <m/>
    <m/>
  </r>
  <r>
    <n v="301"/>
    <x v="7"/>
    <x v="7"/>
    <s v="N/A"/>
    <x v="0"/>
    <x v="101"/>
    <x v="10"/>
    <m/>
    <m/>
    <m/>
    <m/>
  </r>
  <r>
    <n v="302"/>
    <x v="7"/>
    <x v="7"/>
    <s v="N/A"/>
    <x v="0"/>
    <x v="101"/>
    <x v="10"/>
    <m/>
    <m/>
    <m/>
    <m/>
  </r>
  <r>
    <n v="303"/>
    <x v="7"/>
    <x v="7"/>
    <s v="N/A"/>
    <x v="0"/>
    <x v="101"/>
    <x v="10"/>
    <m/>
    <m/>
    <m/>
    <m/>
  </r>
  <r>
    <n v="304"/>
    <x v="7"/>
    <x v="7"/>
    <s v="N/A"/>
    <x v="3"/>
    <x v="101"/>
    <x v="10"/>
    <m/>
    <m/>
    <m/>
    <m/>
  </r>
  <r>
    <n v="305"/>
    <x v="7"/>
    <x v="7"/>
    <s v="N/A"/>
    <x v="3"/>
    <x v="101"/>
    <x v="10"/>
    <m/>
    <m/>
    <m/>
    <m/>
  </r>
  <r>
    <n v="306"/>
    <x v="7"/>
    <x v="7"/>
    <s v="N/A"/>
    <x v="3"/>
    <x v="101"/>
    <x v="10"/>
    <m/>
    <m/>
    <m/>
    <m/>
  </r>
  <r>
    <n v="307"/>
    <x v="7"/>
    <x v="7"/>
    <s v="N/A"/>
    <x v="3"/>
    <x v="101"/>
    <x v="10"/>
    <m/>
    <m/>
    <m/>
    <m/>
  </r>
  <r>
    <n v="308"/>
    <x v="7"/>
    <x v="7"/>
    <s v="N/A"/>
    <x v="3"/>
    <x v="101"/>
    <x v="10"/>
    <m/>
    <m/>
    <m/>
    <m/>
  </r>
  <r>
    <n v="309"/>
    <x v="7"/>
    <x v="7"/>
    <s v="N/A"/>
    <x v="3"/>
    <x v="101"/>
    <x v="10"/>
    <m/>
    <m/>
    <m/>
    <m/>
  </r>
  <r>
    <n v="310"/>
    <x v="7"/>
    <x v="7"/>
    <s v="N/A"/>
    <x v="15"/>
    <x v="170"/>
    <x v="10"/>
    <m/>
    <m/>
    <m/>
    <m/>
  </r>
  <r>
    <n v="311"/>
    <x v="7"/>
    <x v="7"/>
    <s v="N/A"/>
    <x v="15"/>
    <x v="170"/>
    <x v="10"/>
    <m/>
    <m/>
    <m/>
    <m/>
  </r>
  <r>
    <n v="312"/>
    <x v="7"/>
    <x v="7"/>
    <s v="N/A"/>
    <x v="15"/>
    <x v="170"/>
    <x v="10"/>
    <m/>
    <m/>
    <m/>
    <m/>
  </r>
  <r>
    <n v="313"/>
    <x v="7"/>
    <x v="7"/>
    <s v="N/A"/>
    <x v="15"/>
    <x v="170"/>
    <x v="10"/>
    <m/>
    <m/>
    <m/>
    <m/>
  </r>
  <r>
    <n v="314"/>
    <x v="7"/>
    <x v="7"/>
    <s v="N/A"/>
    <x v="15"/>
    <x v="170"/>
    <x v="10"/>
    <m/>
    <m/>
    <m/>
    <m/>
  </r>
  <r>
    <n v="315"/>
    <x v="7"/>
    <x v="7"/>
    <s v="N/A"/>
    <x v="15"/>
    <x v="170"/>
    <x v="10"/>
    <m/>
    <m/>
    <m/>
    <m/>
  </r>
  <r>
    <n v="316"/>
    <x v="7"/>
    <x v="7"/>
    <s v="N/A"/>
    <x v="15"/>
    <x v="170"/>
    <x v="10"/>
    <m/>
    <m/>
    <m/>
    <m/>
  </r>
  <r>
    <n v="317"/>
    <x v="7"/>
    <x v="7"/>
    <s v="N/A"/>
    <x v="15"/>
    <x v="170"/>
    <x v="10"/>
    <m/>
    <m/>
    <m/>
    <m/>
  </r>
  <r>
    <n v="318"/>
    <x v="7"/>
    <x v="7"/>
    <s v="N/A"/>
    <x v="15"/>
    <x v="170"/>
    <x v="10"/>
    <m/>
    <m/>
    <m/>
    <m/>
  </r>
  <r>
    <n v="319"/>
    <x v="7"/>
    <x v="7"/>
    <s v="N/A"/>
    <x v="15"/>
    <x v="170"/>
    <x v="10"/>
    <m/>
    <m/>
    <m/>
    <m/>
  </r>
  <r>
    <n v="320"/>
    <x v="7"/>
    <x v="7"/>
    <s v="N/A"/>
    <x v="4"/>
    <x v="101"/>
    <x v="10"/>
    <m/>
    <m/>
    <m/>
    <m/>
  </r>
  <r>
    <n v="321"/>
    <x v="7"/>
    <x v="7"/>
    <s v="N/A"/>
    <x v="13"/>
    <x v="101"/>
    <x v="10"/>
    <m/>
    <m/>
    <m/>
    <m/>
  </r>
  <r>
    <n v="322"/>
    <x v="7"/>
    <x v="7"/>
    <s v="N/A"/>
    <x v="13"/>
    <x v="101"/>
    <x v="10"/>
    <m/>
    <m/>
    <m/>
    <m/>
  </r>
  <r>
    <n v="323"/>
    <x v="7"/>
    <x v="7"/>
    <s v="N/A"/>
    <x v="11"/>
    <x v="171"/>
    <x v="10"/>
    <m/>
    <m/>
    <m/>
    <m/>
  </r>
  <r>
    <n v="324"/>
    <x v="7"/>
    <x v="7"/>
    <s v="N/A"/>
    <x v="11"/>
    <x v="171"/>
    <x v="10"/>
    <m/>
    <m/>
    <m/>
    <m/>
  </r>
  <r>
    <n v="325"/>
    <x v="7"/>
    <x v="7"/>
    <s v="N/A"/>
    <x v="11"/>
    <x v="171"/>
    <x v="10"/>
    <m/>
    <m/>
    <m/>
    <m/>
  </r>
  <r>
    <n v="326"/>
    <x v="7"/>
    <x v="7"/>
    <s v="N/A"/>
    <x v="11"/>
    <x v="171"/>
    <x v="10"/>
    <m/>
    <m/>
    <m/>
    <m/>
  </r>
  <r>
    <n v="327"/>
    <x v="7"/>
    <x v="7"/>
    <s v="N/A"/>
    <x v="6"/>
    <x v="172"/>
    <x v="10"/>
    <m/>
    <m/>
    <m/>
    <m/>
  </r>
  <r>
    <n v="328"/>
    <x v="7"/>
    <x v="7"/>
    <s v="N/A"/>
    <x v="6"/>
    <x v="172"/>
    <x v="10"/>
    <m/>
    <m/>
    <m/>
    <m/>
  </r>
  <r>
    <n v="329"/>
    <x v="7"/>
    <x v="7"/>
    <s v="N/A"/>
    <x v="6"/>
    <x v="172"/>
    <x v="10"/>
    <m/>
    <m/>
    <m/>
    <m/>
  </r>
  <r>
    <n v="330"/>
    <x v="7"/>
    <x v="7"/>
    <s v="N/A"/>
    <x v="6"/>
    <x v="172"/>
    <x v="10"/>
    <m/>
    <m/>
    <m/>
    <m/>
  </r>
  <r>
    <n v="331"/>
    <x v="7"/>
    <x v="7"/>
    <s v="N/A"/>
    <x v="6"/>
    <x v="172"/>
    <x v="10"/>
    <m/>
    <m/>
    <m/>
    <m/>
  </r>
  <r>
    <n v="332"/>
    <x v="7"/>
    <x v="7"/>
    <s v="N/A"/>
    <x v="6"/>
    <x v="172"/>
    <x v="10"/>
    <m/>
    <m/>
    <m/>
    <m/>
  </r>
  <r>
    <n v="333"/>
    <x v="7"/>
    <x v="7"/>
    <s v="N/A"/>
    <x v="6"/>
    <x v="172"/>
    <x v="10"/>
    <m/>
    <m/>
    <m/>
    <m/>
  </r>
  <r>
    <n v="334"/>
    <x v="7"/>
    <x v="7"/>
    <s v="N/A"/>
    <x v="6"/>
    <x v="172"/>
    <x v="10"/>
    <m/>
    <m/>
    <m/>
    <m/>
  </r>
  <r>
    <n v="335"/>
    <x v="7"/>
    <x v="7"/>
    <s v="N/A"/>
    <x v="6"/>
    <x v="172"/>
    <x v="10"/>
    <m/>
    <m/>
    <m/>
    <m/>
  </r>
  <r>
    <n v="336"/>
    <x v="7"/>
    <x v="7"/>
    <s v="N/A"/>
    <x v="6"/>
    <x v="172"/>
    <x v="10"/>
    <m/>
    <m/>
    <m/>
    <m/>
  </r>
  <r>
    <n v="337"/>
    <x v="7"/>
    <x v="7"/>
    <s v="N/A"/>
    <x v="6"/>
    <x v="172"/>
    <x v="10"/>
    <m/>
    <m/>
    <m/>
    <m/>
  </r>
  <r>
    <n v="338"/>
    <x v="7"/>
    <x v="7"/>
    <s v="N/A"/>
    <x v="6"/>
    <x v="172"/>
    <x v="10"/>
    <m/>
    <m/>
    <m/>
    <m/>
  </r>
  <r>
    <n v="339"/>
    <x v="7"/>
    <x v="7"/>
    <s v="N/A"/>
    <x v="7"/>
    <x v="172"/>
    <x v="10"/>
    <m/>
    <m/>
    <m/>
    <m/>
  </r>
  <r>
    <n v="340"/>
    <x v="7"/>
    <x v="7"/>
    <s v="N/A"/>
    <x v="16"/>
    <x v="172"/>
    <x v="10"/>
    <m/>
    <m/>
    <m/>
    <m/>
  </r>
  <r>
    <n v="341"/>
    <x v="7"/>
    <x v="7"/>
    <s v="N/A"/>
    <x v="16"/>
    <x v="172"/>
    <x v="10"/>
    <m/>
    <m/>
    <m/>
    <m/>
  </r>
  <r>
    <n v="342"/>
    <x v="7"/>
    <x v="7"/>
    <s v="N/A"/>
    <x v="1"/>
    <x v="172"/>
    <x v="10"/>
    <m/>
    <m/>
    <m/>
    <m/>
  </r>
  <r>
    <n v="343"/>
    <x v="7"/>
    <x v="7"/>
    <s v="N/A"/>
    <x v="10"/>
    <x v="172"/>
    <x v="10"/>
    <m/>
    <m/>
    <m/>
    <m/>
  </r>
  <r>
    <n v="344"/>
    <x v="7"/>
    <x v="7"/>
    <s v="N/A"/>
    <x v="7"/>
    <x v="172"/>
    <x v="10"/>
    <m/>
    <m/>
    <m/>
    <m/>
  </r>
  <r>
    <n v="345"/>
    <x v="7"/>
    <x v="7"/>
    <s v="N/A"/>
    <x v="6"/>
    <x v="172"/>
    <x v="10"/>
    <m/>
    <m/>
    <m/>
    <m/>
  </r>
  <r>
    <n v="346"/>
    <x v="7"/>
    <x v="8"/>
    <s v="N/A"/>
    <x v="0"/>
    <x v="172"/>
    <x v="10"/>
    <m/>
    <m/>
    <m/>
    <m/>
  </r>
  <r>
    <n v="347"/>
    <x v="7"/>
    <x v="8"/>
    <s v="N/A"/>
    <x v="0"/>
    <x v="172"/>
    <x v="10"/>
    <m/>
    <m/>
    <m/>
    <m/>
  </r>
  <r>
    <n v="348"/>
    <x v="7"/>
    <x v="8"/>
    <s v="N/A"/>
    <x v="0"/>
    <x v="172"/>
    <x v="10"/>
    <m/>
    <m/>
    <m/>
    <m/>
  </r>
  <r>
    <n v="349"/>
    <x v="7"/>
    <x v="8"/>
    <s v="N/A"/>
    <x v="0"/>
    <x v="172"/>
    <x v="10"/>
    <m/>
    <m/>
    <m/>
    <m/>
  </r>
  <r>
    <n v="350"/>
    <x v="7"/>
    <x v="8"/>
    <s v="N/A"/>
    <x v="0"/>
    <x v="172"/>
    <x v="10"/>
    <m/>
    <m/>
    <m/>
    <m/>
  </r>
  <r>
    <n v="351"/>
    <x v="7"/>
    <x v="8"/>
    <s v="N/A"/>
    <x v="0"/>
    <x v="172"/>
    <x v="10"/>
    <m/>
    <m/>
    <m/>
    <m/>
  </r>
  <r>
    <n v="352"/>
    <x v="7"/>
    <x v="8"/>
    <s v="N/A"/>
    <x v="0"/>
    <x v="172"/>
    <x v="10"/>
    <m/>
    <m/>
    <m/>
    <m/>
  </r>
  <r>
    <n v="353"/>
    <x v="7"/>
    <x v="8"/>
    <s v="N/A"/>
    <x v="0"/>
    <x v="172"/>
    <x v="10"/>
    <m/>
    <m/>
    <m/>
    <m/>
  </r>
  <r>
    <n v="354"/>
    <x v="7"/>
    <x v="8"/>
    <s v="N/A"/>
    <x v="0"/>
    <x v="172"/>
    <x v="10"/>
    <m/>
    <m/>
    <m/>
    <m/>
  </r>
  <r>
    <n v="355"/>
    <x v="7"/>
    <x v="8"/>
    <s v="N/A"/>
    <x v="0"/>
    <x v="172"/>
    <x v="10"/>
    <m/>
    <m/>
    <m/>
    <m/>
  </r>
  <r>
    <n v="356"/>
    <x v="7"/>
    <x v="8"/>
    <s v="N/A"/>
    <x v="0"/>
    <x v="172"/>
    <x v="10"/>
    <m/>
    <m/>
    <m/>
    <m/>
  </r>
  <r>
    <n v="357"/>
    <x v="7"/>
    <x v="8"/>
    <s v="N/A"/>
    <x v="0"/>
    <x v="172"/>
    <x v="10"/>
    <m/>
    <m/>
    <m/>
    <m/>
  </r>
  <r>
    <n v="358"/>
    <x v="7"/>
    <x v="8"/>
    <s v="N/A"/>
    <x v="0"/>
    <x v="172"/>
    <x v="10"/>
    <m/>
    <m/>
    <m/>
    <m/>
  </r>
  <r>
    <n v="359"/>
    <x v="7"/>
    <x v="8"/>
    <s v="N/A"/>
    <x v="0"/>
    <x v="172"/>
    <x v="10"/>
    <m/>
    <m/>
    <m/>
    <m/>
  </r>
  <r>
    <n v="360"/>
    <x v="7"/>
    <x v="8"/>
    <s v="N/A"/>
    <x v="0"/>
    <x v="172"/>
    <x v="10"/>
    <m/>
    <m/>
    <m/>
    <m/>
  </r>
  <r>
    <n v="361"/>
    <x v="7"/>
    <x v="8"/>
    <s v="N/A"/>
    <x v="0"/>
    <x v="172"/>
    <x v="10"/>
    <m/>
    <m/>
    <m/>
    <m/>
  </r>
  <r>
    <n v="362"/>
    <x v="7"/>
    <x v="8"/>
    <s v="N/A"/>
    <x v="0"/>
    <x v="172"/>
    <x v="10"/>
    <m/>
    <m/>
    <m/>
    <m/>
  </r>
  <r>
    <n v="363"/>
    <x v="7"/>
    <x v="8"/>
    <s v="N/A"/>
    <x v="0"/>
    <x v="172"/>
    <x v="10"/>
    <m/>
    <m/>
    <m/>
    <m/>
  </r>
  <r>
    <n v="364"/>
    <x v="7"/>
    <x v="8"/>
    <s v="N/A"/>
    <x v="0"/>
    <x v="172"/>
    <x v="10"/>
    <m/>
    <m/>
    <m/>
    <m/>
  </r>
  <r>
    <n v="365"/>
    <x v="7"/>
    <x v="8"/>
    <s v="N/A"/>
    <x v="0"/>
    <x v="172"/>
    <x v="10"/>
    <m/>
    <m/>
    <m/>
    <m/>
  </r>
  <r>
    <n v="366"/>
    <x v="7"/>
    <x v="8"/>
    <s v="N/A"/>
    <x v="0"/>
    <x v="172"/>
    <x v="10"/>
    <m/>
    <m/>
    <m/>
    <m/>
  </r>
  <r>
    <n v="367"/>
    <x v="7"/>
    <x v="8"/>
    <s v="N/A"/>
    <x v="0"/>
    <x v="172"/>
    <x v="10"/>
    <m/>
    <m/>
    <m/>
    <m/>
  </r>
  <r>
    <n v="368"/>
    <x v="7"/>
    <x v="8"/>
    <s v="N/A"/>
    <x v="0"/>
    <x v="172"/>
    <x v="10"/>
    <m/>
    <m/>
    <m/>
    <m/>
  </r>
  <r>
    <n v="369"/>
    <x v="7"/>
    <x v="8"/>
    <s v="N/A"/>
    <x v="0"/>
    <x v="172"/>
    <x v="10"/>
    <m/>
    <m/>
    <m/>
    <m/>
  </r>
  <r>
    <n v="370"/>
    <x v="7"/>
    <x v="8"/>
    <s v="N/A"/>
    <x v="0"/>
    <x v="172"/>
    <x v="10"/>
    <m/>
    <m/>
    <m/>
    <m/>
  </r>
  <r>
    <n v="371"/>
    <x v="7"/>
    <x v="8"/>
    <s v="N/A"/>
    <x v="0"/>
    <x v="172"/>
    <x v="10"/>
    <m/>
    <m/>
    <m/>
    <m/>
  </r>
  <r>
    <n v="372"/>
    <x v="7"/>
    <x v="8"/>
    <s v="N/A"/>
    <x v="0"/>
    <x v="172"/>
    <x v="10"/>
    <m/>
    <m/>
    <m/>
    <m/>
  </r>
  <r>
    <n v="373"/>
    <x v="7"/>
    <x v="8"/>
    <s v="N/A"/>
    <x v="0"/>
    <x v="172"/>
    <x v="10"/>
    <m/>
    <m/>
    <m/>
    <m/>
  </r>
  <r>
    <n v="374"/>
    <x v="7"/>
    <x v="8"/>
    <s v="N/A"/>
    <x v="0"/>
    <x v="172"/>
    <x v="10"/>
    <m/>
    <m/>
    <m/>
    <m/>
  </r>
  <r>
    <n v="375"/>
    <x v="7"/>
    <x v="8"/>
    <s v="N/A"/>
    <x v="3"/>
    <x v="172"/>
    <x v="10"/>
    <m/>
    <m/>
    <m/>
    <m/>
  </r>
  <r>
    <n v="376"/>
    <x v="7"/>
    <x v="8"/>
    <s v="N/A"/>
    <x v="3"/>
    <x v="172"/>
    <x v="10"/>
    <m/>
    <m/>
    <m/>
    <m/>
  </r>
  <r>
    <n v="377"/>
    <x v="7"/>
    <x v="8"/>
    <s v="N/A"/>
    <x v="3"/>
    <x v="172"/>
    <x v="10"/>
    <m/>
    <m/>
    <m/>
    <m/>
  </r>
  <r>
    <n v="378"/>
    <x v="7"/>
    <x v="8"/>
    <s v="N/A"/>
    <x v="3"/>
    <x v="172"/>
    <x v="10"/>
    <m/>
    <m/>
    <m/>
    <m/>
  </r>
  <r>
    <n v="379"/>
    <x v="7"/>
    <x v="8"/>
    <s v="N/A"/>
    <x v="3"/>
    <x v="172"/>
    <x v="10"/>
    <m/>
    <m/>
    <m/>
    <m/>
  </r>
  <r>
    <n v="380"/>
    <x v="7"/>
    <x v="8"/>
    <s v="N/A"/>
    <x v="3"/>
    <x v="172"/>
    <x v="10"/>
    <m/>
    <m/>
    <m/>
    <m/>
  </r>
  <r>
    <n v="381"/>
    <x v="7"/>
    <x v="8"/>
    <s v="N/A"/>
    <x v="3"/>
    <x v="172"/>
    <x v="10"/>
    <m/>
    <m/>
    <m/>
    <m/>
  </r>
  <r>
    <n v="382"/>
    <x v="7"/>
    <x v="8"/>
    <s v="N/A"/>
    <x v="3"/>
    <x v="172"/>
    <x v="10"/>
    <m/>
    <m/>
    <m/>
    <m/>
  </r>
  <r>
    <n v="383"/>
    <x v="7"/>
    <x v="8"/>
    <s v="N/A"/>
    <x v="3"/>
    <x v="172"/>
    <x v="10"/>
    <m/>
    <m/>
    <m/>
    <m/>
  </r>
  <r>
    <n v="384"/>
    <x v="7"/>
    <x v="8"/>
    <s v="N/A"/>
    <x v="3"/>
    <x v="172"/>
    <x v="10"/>
    <m/>
    <m/>
    <m/>
    <m/>
  </r>
  <r>
    <n v="385"/>
    <x v="7"/>
    <x v="8"/>
    <s v="N/A"/>
    <x v="3"/>
    <x v="172"/>
    <x v="10"/>
    <m/>
    <m/>
    <m/>
    <m/>
  </r>
  <r>
    <n v="386"/>
    <x v="7"/>
    <x v="8"/>
    <s v="N/A"/>
    <x v="3"/>
    <x v="172"/>
    <x v="10"/>
    <m/>
    <m/>
    <m/>
    <m/>
  </r>
  <r>
    <n v="387"/>
    <x v="7"/>
    <x v="8"/>
    <s v="N/A"/>
    <x v="3"/>
    <x v="172"/>
    <x v="10"/>
    <m/>
    <m/>
    <m/>
    <m/>
  </r>
  <r>
    <n v="388"/>
    <x v="7"/>
    <x v="8"/>
    <s v="N/A"/>
    <x v="3"/>
    <x v="172"/>
    <x v="10"/>
    <m/>
    <m/>
    <m/>
    <m/>
  </r>
  <r>
    <n v="389"/>
    <x v="7"/>
    <x v="8"/>
    <s v="N/A"/>
    <x v="3"/>
    <x v="172"/>
    <x v="10"/>
    <m/>
    <m/>
    <m/>
    <m/>
  </r>
  <r>
    <n v="390"/>
    <x v="7"/>
    <x v="8"/>
    <s v="N/A"/>
    <x v="3"/>
    <x v="172"/>
    <x v="10"/>
    <m/>
    <m/>
    <m/>
    <m/>
  </r>
  <r>
    <n v="391"/>
    <x v="7"/>
    <x v="8"/>
    <s v="N/A"/>
    <x v="3"/>
    <x v="172"/>
    <x v="10"/>
    <m/>
    <m/>
    <m/>
    <m/>
  </r>
  <r>
    <n v="392"/>
    <x v="7"/>
    <x v="8"/>
    <s v="N/A"/>
    <x v="3"/>
    <x v="172"/>
    <x v="10"/>
    <m/>
    <m/>
    <m/>
    <m/>
  </r>
  <r>
    <n v="393"/>
    <x v="7"/>
    <x v="8"/>
    <s v="N/A"/>
    <x v="15"/>
    <x v="172"/>
    <x v="10"/>
    <m/>
    <m/>
    <m/>
    <m/>
  </r>
  <r>
    <n v="394"/>
    <x v="7"/>
    <x v="8"/>
    <s v="N/A"/>
    <x v="15"/>
    <x v="172"/>
    <x v="10"/>
    <m/>
    <m/>
    <m/>
    <m/>
  </r>
  <r>
    <n v="395"/>
    <x v="7"/>
    <x v="8"/>
    <s v="N/A"/>
    <x v="15"/>
    <x v="172"/>
    <x v="10"/>
    <m/>
    <m/>
    <m/>
    <m/>
  </r>
  <r>
    <n v="396"/>
    <x v="7"/>
    <x v="8"/>
    <s v="N/A"/>
    <x v="15"/>
    <x v="172"/>
    <x v="10"/>
    <m/>
    <m/>
    <m/>
    <m/>
  </r>
  <r>
    <n v="397"/>
    <x v="7"/>
    <x v="8"/>
    <s v="N/A"/>
    <x v="15"/>
    <x v="172"/>
    <x v="10"/>
    <m/>
    <m/>
    <m/>
    <m/>
  </r>
  <r>
    <n v="398"/>
    <x v="7"/>
    <x v="8"/>
    <s v="N/A"/>
    <x v="15"/>
    <x v="172"/>
    <x v="10"/>
    <m/>
    <m/>
    <m/>
    <m/>
  </r>
  <r>
    <n v="399"/>
    <x v="7"/>
    <x v="8"/>
    <s v="N/A"/>
    <x v="15"/>
    <x v="172"/>
    <x v="10"/>
    <m/>
    <m/>
    <m/>
    <m/>
  </r>
  <r>
    <n v="400"/>
    <x v="7"/>
    <x v="8"/>
    <s v="N/A"/>
    <x v="15"/>
    <x v="172"/>
    <x v="10"/>
    <m/>
    <m/>
    <m/>
    <m/>
  </r>
  <r>
    <n v="401"/>
    <x v="7"/>
    <x v="8"/>
    <s v="N/A"/>
    <x v="15"/>
    <x v="172"/>
    <x v="10"/>
    <m/>
    <m/>
    <m/>
    <m/>
  </r>
  <r>
    <n v="402"/>
    <x v="7"/>
    <x v="8"/>
    <s v="N/A"/>
    <x v="15"/>
    <x v="172"/>
    <x v="10"/>
    <m/>
    <m/>
    <m/>
    <m/>
  </r>
  <r>
    <n v="403"/>
    <x v="7"/>
    <x v="8"/>
    <s v="N/A"/>
    <x v="12"/>
    <x v="172"/>
    <x v="10"/>
    <m/>
    <m/>
    <m/>
    <m/>
  </r>
  <r>
    <n v="404"/>
    <x v="7"/>
    <x v="8"/>
    <s v="N/A"/>
    <x v="12"/>
    <x v="172"/>
    <x v="10"/>
    <m/>
    <m/>
    <m/>
    <m/>
  </r>
  <r>
    <n v="405"/>
    <x v="7"/>
    <x v="8"/>
    <s v="N/A"/>
    <x v="12"/>
    <x v="172"/>
    <x v="10"/>
    <m/>
    <m/>
    <m/>
    <m/>
  </r>
  <r>
    <n v="406"/>
    <x v="7"/>
    <x v="8"/>
    <s v="N/A"/>
    <x v="12"/>
    <x v="172"/>
    <x v="10"/>
    <m/>
    <m/>
    <m/>
    <m/>
  </r>
  <r>
    <n v="407"/>
    <x v="7"/>
    <x v="8"/>
    <s v="N/A"/>
    <x v="12"/>
    <x v="172"/>
    <x v="10"/>
    <m/>
    <m/>
    <m/>
    <m/>
  </r>
  <r>
    <n v="408"/>
    <x v="7"/>
    <x v="8"/>
    <s v="N/A"/>
    <x v="12"/>
    <x v="172"/>
    <x v="10"/>
    <m/>
    <m/>
    <m/>
    <m/>
  </r>
  <r>
    <n v="409"/>
    <x v="7"/>
    <x v="8"/>
    <s v="N/A"/>
    <x v="12"/>
    <x v="172"/>
    <x v="10"/>
    <m/>
    <m/>
    <m/>
    <m/>
  </r>
  <r>
    <n v="410"/>
    <x v="7"/>
    <x v="8"/>
    <s v="N/A"/>
    <x v="12"/>
    <x v="172"/>
    <x v="10"/>
    <m/>
    <m/>
    <m/>
    <m/>
  </r>
  <r>
    <n v="411"/>
    <x v="7"/>
    <x v="8"/>
    <s v="N/A"/>
    <x v="12"/>
    <x v="172"/>
    <x v="10"/>
    <m/>
    <m/>
    <m/>
    <m/>
  </r>
  <r>
    <n v="412"/>
    <x v="7"/>
    <x v="8"/>
    <s v="N/A"/>
    <x v="12"/>
    <x v="172"/>
    <x v="10"/>
    <m/>
    <m/>
    <m/>
    <m/>
  </r>
  <r>
    <n v="413"/>
    <x v="7"/>
    <x v="8"/>
    <s v="N/A"/>
    <x v="12"/>
    <x v="172"/>
    <x v="10"/>
    <m/>
    <m/>
    <m/>
    <m/>
  </r>
  <r>
    <n v="414"/>
    <x v="7"/>
    <x v="8"/>
    <s v="N/A"/>
    <x v="12"/>
    <x v="172"/>
    <x v="10"/>
    <m/>
    <m/>
    <m/>
    <m/>
  </r>
  <r>
    <n v="415"/>
    <x v="7"/>
    <x v="8"/>
    <s v="N/A"/>
    <x v="12"/>
    <x v="172"/>
    <x v="10"/>
    <m/>
    <m/>
    <m/>
    <m/>
  </r>
  <r>
    <n v="416"/>
    <x v="7"/>
    <x v="8"/>
    <s v="N/A"/>
    <x v="12"/>
    <x v="172"/>
    <x v="10"/>
    <m/>
    <m/>
    <m/>
    <m/>
  </r>
  <r>
    <n v="417"/>
    <x v="7"/>
    <x v="8"/>
    <s v="N/A"/>
    <x v="12"/>
    <x v="172"/>
    <x v="10"/>
    <m/>
    <m/>
    <m/>
    <m/>
  </r>
  <r>
    <n v="418"/>
    <x v="7"/>
    <x v="8"/>
    <s v="N/A"/>
    <x v="12"/>
    <x v="172"/>
    <x v="10"/>
    <m/>
    <m/>
    <m/>
    <m/>
  </r>
  <r>
    <n v="419"/>
    <x v="7"/>
    <x v="8"/>
    <s v="N/A"/>
    <x v="12"/>
    <x v="172"/>
    <x v="10"/>
    <m/>
    <m/>
    <m/>
    <m/>
  </r>
  <r>
    <n v="420"/>
    <x v="7"/>
    <x v="8"/>
    <s v="N/A"/>
    <x v="12"/>
    <x v="172"/>
    <x v="10"/>
    <m/>
    <m/>
    <m/>
    <m/>
  </r>
  <r>
    <n v="421"/>
    <x v="7"/>
    <x v="8"/>
    <s v="N/A"/>
    <x v="4"/>
    <x v="172"/>
    <x v="10"/>
    <m/>
    <m/>
    <m/>
    <m/>
  </r>
  <r>
    <n v="422"/>
    <x v="7"/>
    <x v="8"/>
    <s v="N/A"/>
    <x v="4"/>
    <x v="172"/>
    <x v="10"/>
    <m/>
    <m/>
    <m/>
    <m/>
  </r>
  <r>
    <n v="423"/>
    <x v="7"/>
    <x v="8"/>
    <s v="N/A"/>
    <x v="4"/>
    <x v="172"/>
    <x v="10"/>
    <m/>
    <m/>
    <m/>
    <m/>
  </r>
  <r>
    <n v="424"/>
    <x v="7"/>
    <x v="8"/>
    <s v="N/A"/>
    <x v="4"/>
    <x v="172"/>
    <x v="10"/>
    <m/>
    <m/>
    <m/>
    <m/>
  </r>
  <r>
    <n v="425"/>
    <x v="7"/>
    <x v="8"/>
    <s v="N/A"/>
    <x v="4"/>
    <x v="172"/>
    <x v="10"/>
    <m/>
    <m/>
    <m/>
    <m/>
  </r>
  <r>
    <n v="426"/>
    <x v="7"/>
    <x v="8"/>
    <s v="N/A"/>
    <x v="4"/>
    <x v="172"/>
    <x v="10"/>
    <m/>
    <m/>
    <m/>
    <m/>
  </r>
  <r>
    <n v="427"/>
    <x v="7"/>
    <x v="8"/>
    <s v="N/A"/>
    <x v="4"/>
    <x v="172"/>
    <x v="10"/>
    <m/>
    <m/>
    <m/>
    <m/>
  </r>
  <r>
    <n v="428"/>
    <x v="7"/>
    <x v="8"/>
    <s v="N/A"/>
    <x v="4"/>
    <x v="172"/>
    <x v="10"/>
    <m/>
    <m/>
    <m/>
    <m/>
  </r>
  <r>
    <n v="429"/>
    <x v="7"/>
    <x v="8"/>
    <s v="N/A"/>
    <x v="4"/>
    <x v="172"/>
    <x v="10"/>
    <m/>
    <m/>
    <m/>
    <m/>
  </r>
  <r>
    <n v="430"/>
    <x v="7"/>
    <x v="8"/>
    <s v="N/A"/>
    <x v="4"/>
    <x v="172"/>
    <x v="10"/>
    <m/>
    <m/>
    <m/>
    <m/>
  </r>
  <r>
    <n v="431"/>
    <x v="7"/>
    <x v="8"/>
    <s v="N/A"/>
    <x v="4"/>
    <x v="172"/>
    <x v="10"/>
    <m/>
    <m/>
    <m/>
    <m/>
  </r>
  <r>
    <n v="432"/>
    <x v="7"/>
    <x v="8"/>
    <s v="N/A"/>
    <x v="4"/>
    <x v="172"/>
    <x v="10"/>
    <m/>
    <m/>
    <m/>
    <m/>
  </r>
  <r>
    <n v="433"/>
    <x v="7"/>
    <x v="8"/>
    <s v="N/A"/>
    <x v="4"/>
    <x v="172"/>
    <x v="10"/>
    <m/>
    <m/>
    <m/>
    <m/>
  </r>
  <r>
    <n v="434"/>
    <x v="7"/>
    <x v="8"/>
    <s v="N/A"/>
    <x v="13"/>
    <x v="172"/>
    <x v="10"/>
    <m/>
    <m/>
    <m/>
    <m/>
  </r>
  <r>
    <n v="435"/>
    <x v="7"/>
    <x v="8"/>
    <s v="N/A"/>
    <x v="13"/>
    <x v="172"/>
    <x v="10"/>
    <m/>
    <m/>
    <m/>
    <m/>
  </r>
  <r>
    <n v="436"/>
    <x v="7"/>
    <x v="8"/>
    <s v="N/A"/>
    <x v="13"/>
    <x v="172"/>
    <x v="10"/>
    <m/>
    <m/>
    <m/>
    <m/>
  </r>
  <r>
    <n v="437"/>
    <x v="7"/>
    <x v="8"/>
    <s v="N/A"/>
    <x v="13"/>
    <x v="172"/>
    <x v="10"/>
    <m/>
    <m/>
    <m/>
    <m/>
  </r>
  <r>
    <n v="438"/>
    <x v="7"/>
    <x v="8"/>
    <s v="N/A"/>
    <x v="13"/>
    <x v="172"/>
    <x v="10"/>
    <m/>
    <m/>
    <m/>
    <m/>
  </r>
  <r>
    <n v="439"/>
    <x v="7"/>
    <x v="8"/>
    <s v="N/A"/>
    <x v="13"/>
    <x v="172"/>
    <x v="10"/>
    <m/>
    <m/>
    <m/>
    <m/>
  </r>
  <r>
    <n v="440"/>
    <x v="7"/>
    <x v="8"/>
    <s v="N/A"/>
    <x v="13"/>
    <x v="172"/>
    <x v="10"/>
    <m/>
    <m/>
    <m/>
    <m/>
  </r>
  <r>
    <n v="441"/>
    <x v="7"/>
    <x v="8"/>
    <s v="N/A"/>
    <x v="13"/>
    <x v="172"/>
    <x v="10"/>
    <m/>
    <m/>
    <m/>
    <m/>
  </r>
  <r>
    <n v="442"/>
    <x v="7"/>
    <x v="8"/>
    <s v="N/A"/>
    <x v="13"/>
    <x v="172"/>
    <x v="10"/>
    <m/>
    <m/>
    <m/>
    <m/>
  </r>
  <r>
    <n v="443"/>
    <x v="7"/>
    <x v="8"/>
    <s v="N/A"/>
    <x v="13"/>
    <x v="172"/>
    <x v="10"/>
    <m/>
    <m/>
    <m/>
    <m/>
  </r>
  <r>
    <n v="444"/>
    <x v="7"/>
    <x v="8"/>
    <s v="N/A"/>
    <x v="13"/>
    <x v="172"/>
    <x v="10"/>
    <m/>
    <m/>
    <m/>
    <m/>
  </r>
  <r>
    <n v="445"/>
    <x v="7"/>
    <x v="8"/>
    <s v="N/A"/>
    <x v="11"/>
    <x v="172"/>
    <x v="10"/>
    <m/>
    <m/>
    <m/>
    <m/>
  </r>
  <r>
    <n v="446"/>
    <x v="7"/>
    <x v="8"/>
    <s v="N/A"/>
    <x v="11"/>
    <x v="172"/>
    <x v="10"/>
    <m/>
    <m/>
    <m/>
    <m/>
  </r>
  <r>
    <n v="447"/>
    <x v="7"/>
    <x v="8"/>
    <s v="N/A"/>
    <x v="11"/>
    <x v="172"/>
    <x v="10"/>
    <m/>
    <m/>
    <m/>
    <m/>
  </r>
  <r>
    <n v="448"/>
    <x v="7"/>
    <x v="8"/>
    <s v="N/A"/>
    <x v="11"/>
    <x v="172"/>
    <x v="10"/>
    <m/>
    <m/>
    <m/>
    <m/>
  </r>
  <r>
    <n v="449"/>
    <x v="7"/>
    <x v="8"/>
    <s v="N/A"/>
    <x v="11"/>
    <x v="172"/>
    <x v="10"/>
    <m/>
    <m/>
    <m/>
    <m/>
  </r>
  <r>
    <n v="450"/>
    <x v="7"/>
    <x v="8"/>
    <s v="N/A"/>
    <x v="11"/>
    <x v="172"/>
    <x v="10"/>
    <m/>
    <m/>
    <m/>
    <m/>
  </r>
  <r>
    <n v="451"/>
    <x v="7"/>
    <x v="8"/>
    <s v="N/A"/>
    <x v="11"/>
    <x v="172"/>
    <x v="10"/>
    <m/>
    <m/>
    <m/>
    <m/>
  </r>
  <r>
    <n v="452"/>
    <x v="7"/>
    <x v="8"/>
    <s v="N/A"/>
    <x v="11"/>
    <x v="172"/>
    <x v="10"/>
    <m/>
    <m/>
    <m/>
    <m/>
  </r>
  <r>
    <n v="453"/>
    <x v="7"/>
    <x v="8"/>
    <s v="N/A"/>
    <x v="6"/>
    <x v="172"/>
    <x v="10"/>
    <m/>
    <m/>
    <m/>
    <m/>
  </r>
  <r>
    <n v="454"/>
    <x v="7"/>
    <x v="8"/>
    <s v="N/A"/>
    <x v="6"/>
    <x v="172"/>
    <x v="10"/>
    <m/>
    <m/>
    <m/>
    <m/>
  </r>
  <r>
    <n v="455"/>
    <x v="7"/>
    <x v="8"/>
    <s v="N/A"/>
    <x v="6"/>
    <x v="172"/>
    <x v="10"/>
    <m/>
    <m/>
    <m/>
    <m/>
  </r>
  <r>
    <n v="456"/>
    <x v="7"/>
    <x v="8"/>
    <s v="N/A"/>
    <x v="6"/>
    <x v="172"/>
    <x v="10"/>
    <m/>
    <m/>
    <m/>
    <m/>
  </r>
  <r>
    <n v="457"/>
    <x v="7"/>
    <x v="8"/>
    <s v="N/A"/>
    <x v="6"/>
    <x v="172"/>
    <x v="10"/>
    <m/>
    <m/>
    <m/>
    <m/>
  </r>
  <r>
    <n v="458"/>
    <x v="7"/>
    <x v="8"/>
    <s v="N/A"/>
    <x v="6"/>
    <x v="172"/>
    <x v="10"/>
    <m/>
    <m/>
    <m/>
    <m/>
  </r>
  <r>
    <n v="459"/>
    <x v="7"/>
    <x v="8"/>
    <s v="N/A"/>
    <x v="7"/>
    <x v="173"/>
    <x v="10"/>
    <m/>
    <m/>
    <m/>
    <m/>
  </r>
  <r>
    <n v="460"/>
    <x v="7"/>
    <x v="8"/>
    <s v="N/A"/>
    <x v="7"/>
    <x v="173"/>
    <x v="10"/>
    <m/>
    <m/>
    <m/>
    <m/>
  </r>
  <r>
    <n v="461"/>
    <x v="7"/>
    <x v="8"/>
    <s v="N/A"/>
    <x v="7"/>
    <x v="173"/>
    <x v="10"/>
    <m/>
    <m/>
    <m/>
    <m/>
  </r>
  <r>
    <n v="462"/>
    <x v="7"/>
    <x v="8"/>
    <s v="N/A"/>
    <x v="7"/>
    <x v="173"/>
    <x v="10"/>
    <m/>
    <m/>
    <m/>
    <m/>
  </r>
  <r>
    <n v="463"/>
    <x v="7"/>
    <x v="8"/>
    <s v="N/A"/>
    <x v="7"/>
    <x v="173"/>
    <x v="10"/>
    <m/>
    <m/>
    <m/>
    <m/>
  </r>
  <r>
    <n v="464"/>
    <x v="7"/>
    <x v="8"/>
    <s v="N/A"/>
    <x v="7"/>
    <x v="173"/>
    <x v="10"/>
    <m/>
    <m/>
    <m/>
    <m/>
  </r>
  <r>
    <n v="465"/>
    <x v="7"/>
    <x v="8"/>
    <s v="N/A"/>
    <x v="7"/>
    <x v="173"/>
    <x v="10"/>
    <m/>
    <m/>
    <m/>
    <m/>
  </r>
  <r>
    <n v="466"/>
    <x v="7"/>
    <x v="8"/>
    <s v="N/A"/>
    <x v="8"/>
    <x v="101"/>
    <x v="10"/>
    <m/>
    <m/>
    <m/>
    <m/>
  </r>
  <r>
    <n v="467"/>
    <x v="7"/>
    <x v="8"/>
    <s v="N/A"/>
    <x v="8"/>
    <x v="101"/>
    <x v="10"/>
    <m/>
    <m/>
    <m/>
    <m/>
  </r>
  <r>
    <n v="468"/>
    <x v="7"/>
    <x v="8"/>
    <s v="N/A"/>
    <x v="8"/>
    <x v="101"/>
    <x v="10"/>
    <m/>
    <m/>
    <m/>
    <m/>
  </r>
  <r>
    <n v="469"/>
    <x v="7"/>
    <x v="8"/>
    <s v="N/A"/>
    <x v="8"/>
    <x v="101"/>
    <x v="10"/>
    <m/>
    <m/>
    <m/>
    <m/>
  </r>
  <r>
    <n v="470"/>
    <x v="7"/>
    <x v="8"/>
    <s v="N/A"/>
    <x v="8"/>
    <x v="101"/>
    <x v="10"/>
    <m/>
    <m/>
    <m/>
    <m/>
  </r>
  <r>
    <n v="471"/>
    <x v="7"/>
    <x v="8"/>
    <s v="N/A"/>
    <x v="8"/>
    <x v="101"/>
    <x v="10"/>
    <m/>
    <m/>
    <m/>
    <m/>
  </r>
  <r>
    <n v="472"/>
    <x v="7"/>
    <x v="8"/>
    <s v="N/A"/>
    <x v="8"/>
    <x v="101"/>
    <x v="10"/>
    <m/>
    <m/>
    <m/>
    <m/>
  </r>
  <r>
    <n v="473"/>
    <x v="7"/>
    <x v="8"/>
    <s v="N/A"/>
    <x v="8"/>
    <x v="101"/>
    <x v="10"/>
    <m/>
    <m/>
    <m/>
    <m/>
  </r>
  <r>
    <n v="474"/>
    <x v="7"/>
    <x v="8"/>
    <s v="N/A"/>
    <x v="13"/>
    <x v="174"/>
    <x v="10"/>
    <m/>
    <m/>
    <m/>
    <m/>
  </r>
  <r>
    <n v="475"/>
    <x v="7"/>
    <x v="8"/>
    <s v="N/A"/>
    <x v="13"/>
    <x v="174"/>
    <x v="10"/>
    <m/>
    <m/>
    <m/>
    <m/>
  </r>
  <r>
    <n v="476"/>
    <x v="7"/>
    <x v="8"/>
    <s v="N/A"/>
    <x v="13"/>
    <x v="174"/>
    <x v="10"/>
    <m/>
    <m/>
    <m/>
    <m/>
  </r>
  <r>
    <n v="477"/>
    <x v="7"/>
    <x v="8"/>
    <s v="N/A"/>
    <x v="13"/>
    <x v="174"/>
    <x v="10"/>
    <m/>
    <m/>
    <m/>
    <m/>
  </r>
  <r>
    <n v="478"/>
    <x v="7"/>
    <x v="8"/>
    <s v="N/A"/>
    <x v="13"/>
    <x v="174"/>
    <x v="10"/>
    <m/>
    <m/>
    <m/>
    <m/>
  </r>
  <r>
    <n v="479"/>
    <x v="7"/>
    <x v="8"/>
    <s v="N/A"/>
    <x v="13"/>
    <x v="174"/>
    <x v="10"/>
    <m/>
    <m/>
    <m/>
    <m/>
  </r>
  <r>
    <n v="480"/>
    <x v="7"/>
    <x v="8"/>
    <s v="N/A"/>
    <x v="13"/>
    <x v="174"/>
    <x v="10"/>
    <m/>
    <m/>
    <m/>
    <m/>
  </r>
  <r>
    <n v="481"/>
    <x v="7"/>
    <x v="8"/>
    <s v="N/A"/>
    <x v="13"/>
    <x v="174"/>
    <x v="10"/>
    <m/>
    <m/>
    <m/>
    <m/>
  </r>
  <r>
    <n v="482"/>
    <x v="7"/>
    <x v="8"/>
    <s v="N/A"/>
    <x v="9"/>
    <x v="175"/>
    <x v="10"/>
    <m/>
    <m/>
    <m/>
    <m/>
  </r>
  <r>
    <n v="483"/>
    <x v="7"/>
    <x v="8"/>
    <s v="N/A"/>
    <x v="9"/>
    <x v="175"/>
    <x v="10"/>
    <m/>
    <m/>
    <m/>
    <m/>
  </r>
  <r>
    <n v="484"/>
    <x v="7"/>
    <x v="8"/>
    <s v="N/A"/>
    <x v="9"/>
    <x v="175"/>
    <x v="10"/>
    <m/>
    <m/>
    <m/>
    <m/>
  </r>
  <r>
    <n v="485"/>
    <x v="7"/>
    <x v="8"/>
    <s v="N/A"/>
    <x v="9"/>
    <x v="175"/>
    <x v="10"/>
    <m/>
    <m/>
    <m/>
    <m/>
  </r>
  <r>
    <n v="486"/>
    <x v="7"/>
    <x v="8"/>
    <s v="N/A"/>
    <x v="9"/>
    <x v="175"/>
    <x v="10"/>
    <m/>
    <m/>
    <m/>
    <m/>
  </r>
  <r>
    <n v="487"/>
    <x v="7"/>
    <x v="8"/>
    <s v="N/A"/>
    <x v="9"/>
    <x v="175"/>
    <x v="10"/>
    <m/>
    <m/>
    <m/>
    <m/>
  </r>
  <r>
    <n v="488"/>
    <x v="7"/>
    <x v="8"/>
    <s v="N/A"/>
    <x v="9"/>
    <x v="175"/>
    <x v="10"/>
    <m/>
    <m/>
    <m/>
    <m/>
  </r>
  <r>
    <n v="489"/>
    <x v="7"/>
    <x v="8"/>
    <s v="N/A"/>
    <x v="16"/>
    <x v="101"/>
    <x v="10"/>
    <m/>
    <m/>
    <m/>
    <m/>
  </r>
  <r>
    <n v="490"/>
    <x v="7"/>
    <x v="8"/>
    <s v="N/A"/>
    <x v="16"/>
    <x v="101"/>
    <x v="10"/>
    <m/>
    <m/>
    <m/>
    <m/>
  </r>
  <r>
    <n v="491"/>
    <x v="7"/>
    <x v="8"/>
    <s v="N/A"/>
    <x v="16"/>
    <x v="101"/>
    <x v="10"/>
    <m/>
    <m/>
    <m/>
    <m/>
  </r>
  <r>
    <n v="492"/>
    <x v="7"/>
    <x v="8"/>
    <s v="N/A"/>
    <x v="7"/>
    <x v="176"/>
    <x v="10"/>
    <m/>
    <m/>
    <m/>
    <m/>
  </r>
  <r>
    <n v="493"/>
    <x v="7"/>
    <x v="8"/>
    <s v="N/A"/>
    <x v="7"/>
    <x v="176"/>
    <x v="10"/>
    <m/>
    <m/>
    <m/>
    <m/>
  </r>
  <r>
    <n v="494"/>
    <x v="7"/>
    <x v="8"/>
    <s v="N/A"/>
    <x v="7"/>
    <x v="176"/>
    <x v="10"/>
    <m/>
    <m/>
    <m/>
    <m/>
  </r>
  <r>
    <n v="495"/>
    <x v="7"/>
    <x v="7"/>
    <s v="N/A"/>
    <x v="5"/>
    <x v="177"/>
    <x v="10"/>
    <m/>
    <m/>
    <m/>
    <m/>
  </r>
  <r>
    <n v="496"/>
    <x v="7"/>
    <x v="8"/>
    <s v="N/A"/>
    <x v="5"/>
    <x v="177"/>
    <x v="10"/>
    <m/>
    <m/>
    <m/>
    <m/>
  </r>
  <r>
    <n v="497"/>
    <x v="7"/>
    <x v="8"/>
    <s v="N/A"/>
    <x v="5"/>
    <x v="177"/>
    <x v="10"/>
    <m/>
    <m/>
    <m/>
    <m/>
  </r>
  <r>
    <n v="498"/>
    <x v="7"/>
    <x v="8"/>
    <s v="N/A"/>
    <x v="1"/>
    <x v="178"/>
    <x v="10"/>
    <m/>
    <m/>
    <m/>
    <m/>
  </r>
  <r>
    <n v="499"/>
    <x v="7"/>
    <x v="8"/>
    <s v="N/A"/>
    <x v="1"/>
    <x v="178"/>
    <x v="10"/>
    <m/>
    <m/>
    <m/>
    <m/>
  </r>
  <r>
    <n v="500"/>
    <x v="7"/>
    <x v="8"/>
    <s v="N/A"/>
    <x v="10"/>
    <x v="101"/>
    <x v="10"/>
    <m/>
    <m/>
    <m/>
    <m/>
  </r>
  <r>
    <n v="501"/>
    <x v="7"/>
    <x v="8"/>
    <s v="N/A"/>
    <x v="6"/>
    <x v="179"/>
    <x v="10"/>
    <m/>
    <m/>
    <m/>
    <m/>
  </r>
  <r>
    <n v="502"/>
    <x v="7"/>
    <x v="8"/>
    <s v="N/A"/>
    <x v="6"/>
    <x v="179"/>
    <x v="10"/>
    <m/>
    <m/>
    <m/>
    <m/>
  </r>
  <r>
    <n v="503"/>
    <x v="7"/>
    <x v="8"/>
    <s v="N/A"/>
    <x v="7"/>
    <x v="101"/>
    <x v="10"/>
    <m/>
    <m/>
    <m/>
    <m/>
  </r>
  <r>
    <n v="504"/>
    <x v="7"/>
    <x v="8"/>
    <s v="N/A"/>
    <x v="1"/>
    <x v="180"/>
    <x v="10"/>
    <m/>
    <m/>
    <m/>
    <s v="Erytropoetine (EPO)"/>
  </r>
  <r>
    <n v="505"/>
    <x v="7"/>
    <x v="8"/>
    <s v="N/A"/>
    <x v="17"/>
    <x v="101"/>
    <x v="10"/>
    <m/>
    <m/>
    <m/>
    <m/>
  </r>
  <r>
    <n v="506"/>
    <x v="7"/>
    <x v="8"/>
    <s v="N/A"/>
    <x v="9"/>
    <x v="19"/>
    <x v="10"/>
    <m/>
    <m/>
    <m/>
    <m/>
  </r>
  <r>
    <n v="507"/>
    <x v="7"/>
    <x v="8"/>
    <s v="N/A"/>
    <x v="9"/>
    <x v="181"/>
    <x v="10"/>
    <m/>
    <m/>
    <m/>
    <m/>
  </r>
  <r>
    <n v="508"/>
    <x v="8"/>
    <x v="9"/>
    <s v="N/A"/>
    <x v="4"/>
    <x v="182"/>
    <x v="1"/>
    <n v="2020"/>
    <s v="P&amp;R Dossier development + CEM &amp; BIM Adaptation"/>
    <s v="Ongoing"/>
    <s v="Dupilumab"/>
  </r>
  <r>
    <n v="509"/>
    <x v="8"/>
    <x v="9"/>
    <s v="N/A"/>
    <x v="0"/>
    <x v="183"/>
    <x v="2"/>
    <n v="2020"/>
    <s v="P&amp;R Dossier development + CEM &amp; BIM Adaptation"/>
    <s v="Ongoing"/>
    <s v="Opdivo (nivolumab) + Yervoy (ipilimumab)"/>
  </r>
  <r>
    <n v="510"/>
    <x v="8"/>
    <x v="9"/>
    <s v="N/A"/>
    <x v="0"/>
    <x v="184"/>
    <x v="0"/>
    <n v="2021"/>
    <s v="P&amp;R Dossier development + CEM &amp; BIM Adaptation"/>
    <s v="Ongoing"/>
    <s v="Opdivo (nivolumab)"/>
  </r>
  <r>
    <n v="511"/>
    <x v="8"/>
    <x v="9"/>
    <s v="N/A"/>
    <x v="0"/>
    <x v="185"/>
    <x v="0"/>
    <n v="2021"/>
    <s v="P&amp;R Dossier development + CEM &amp; BIM Adaptation"/>
    <s v="Ongoing"/>
    <s v="Opdivo (nivolumab) + Yervoy (ipilimumab)"/>
  </r>
  <r>
    <n v="512"/>
    <x v="8"/>
    <x v="9"/>
    <s v="N/A"/>
    <x v="18"/>
    <x v="100"/>
    <x v="0"/>
    <n v="2021"/>
    <s v="P&amp;R Dossier development + CEM &amp; BIM Adaptation"/>
    <s v="Ongoing"/>
    <s v="Ozanimod"/>
  </r>
  <r>
    <n v="513"/>
    <x v="8"/>
    <x v="9"/>
    <s v="N/A"/>
    <x v="0"/>
    <x v="186"/>
    <x v="2"/>
    <n v="2021"/>
    <s v="P&amp;R Dossier development + CEM &amp; BIM Adaptation"/>
    <s v="Ongoing"/>
    <s v="Darolutamide"/>
  </r>
  <r>
    <n v="514"/>
    <x v="9"/>
    <x v="10"/>
    <s v="N/A"/>
    <x v="19"/>
    <x v="54"/>
    <x v="3"/>
    <n v="2019"/>
    <s v="Literature review + Expert panel + CEM &amp; BIM adaptation + HTA application form"/>
    <s v="Completed (reimbursed)"/>
    <s v="Olumiant (baricitinib)"/>
  </r>
  <r>
    <n v="515"/>
    <x v="9"/>
    <x v="10"/>
    <s v="N/A"/>
    <x v="20"/>
    <x v="187"/>
    <x v="3"/>
    <n v="2019"/>
    <s v="Literature review + Expert panel + CEM &amp; BIM adaptation + HTA application form"/>
    <s v="Completed (reimbursed)"/>
    <s v="Xarelto (rivaroxaban)"/>
  </r>
  <r>
    <n v="516"/>
    <x v="9"/>
    <x v="10"/>
    <s v="N/A"/>
    <x v="0"/>
    <x v="188"/>
    <x v="3"/>
    <n v="2018"/>
    <s v="Literature review + Expert panel + BIM development + HTA application form"/>
    <s v="Completed (reimbursed)"/>
    <s v="Binocrit (epoetin alpha)"/>
  </r>
  <r>
    <n v="517"/>
    <x v="9"/>
    <x v="10"/>
    <s v="N/A"/>
    <x v="21"/>
    <x v="189"/>
    <x v="1"/>
    <n v="2019"/>
    <s v="Literature review + Expert panel + CEM &amp; BIM adaptation + HTA application form"/>
    <s v="Completed (under evaluation)"/>
    <s v="Luxturna (voretigene neparvovec-rzyl) "/>
  </r>
  <r>
    <n v="518"/>
    <x v="9"/>
    <x v="10"/>
    <s v="N/A"/>
    <x v="18"/>
    <x v="190"/>
    <x v="1"/>
    <n v="2019"/>
    <s v="Literature review + CEM &amp; BIM adaptation + HTA application form"/>
    <s v="Completed (HTA positive assessment)"/>
    <s v="Ajovy (fremanezumab)"/>
  </r>
  <r>
    <n v="519"/>
    <x v="9"/>
    <x v="10"/>
    <s v="N/A"/>
    <x v="10"/>
    <x v="191"/>
    <x v="1"/>
    <n v="2020"/>
    <s v="Literature review + Expert panel + CEM &amp; BIM adaptation + Objection Handler adaptation + Mock negotiation + HTA application form"/>
    <s v="Completed (under evaluation)"/>
    <s v="Lucentis (ranibizumab)"/>
  </r>
  <r>
    <n v="520"/>
    <x v="9"/>
    <x v="10"/>
    <s v="N/A"/>
    <x v="10"/>
    <x v="192"/>
    <x v="1"/>
    <n v="2020"/>
    <s v="Literature review + Expert panel + CEM, CMM &amp; BIM adaptation + Objection Handler adaptation + Mock negotiation + HTA application form"/>
    <s v="Completed (under evaluation)"/>
    <s v="Beovu (brolucizumab)"/>
  </r>
  <r>
    <n v="521"/>
    <x v="9"/>
    <x v="10"/>
    <s v="N/A"/>
    <x v="0"/>
    <x v="193"/>
    <x v="1"/>
    <n v="2020"/>
    <s v="Literature review + CEM &amp; BIM adaptation + Objection Handler adaptation + Mock negotiation + HTA application form"/>
    <s v="Completed (succesful negotiation)"/>
    <s v="Tafinlar+Mekinist (dabrafenib+trametinib)"/>
  </r>
  <r>
    <n v="522"/>
    <x v="9"/>
    <x v="10"/>
    <s v="N/A"/>
    <x v="18"/>
    <x v="194"/>
    <x v="1"/>
    <n v="2020"/>
    <s v="Literature review + CEM &amp; BIM adaptation + Objection Handler adaptation + Mock negotiation + HTA application form"/>
    <s v="Completed (under evaluation)"/>
    <s v="Mayzent (siponimod)"/>
  </r>
  <r>
    <n v="523"/>
    <x v="9"/>
    <x v="10"/>
    <s v="N/A"/>
    <x v="22"/>
    <x v="195"/>
    <x v="2"/>
    <n v="2020"/>
    <s v="Literature review + CEM, CMM &amp; BIM adaptation + HTA application form"/>
    <s v="Completed (under evaluation)"/>
    <s v="Otezla (apremilast)"/>
  </r>
  <r>
    <n v="524"/>
    <x v="9"/>
    <x v="10"/>
    <s v="N/A"/>
    <x v="20"/>
    <x v="196"/>
    <x v="2"/>
    <n v="2020"/>
    <s v="Literature review + CEM &amp; BIM adaptation + COI model development + Objection Handler adaptation + Mock negotiation + HTA application form"/>
    <s v="Completed (not submitted yet)"/>
    <s v="Entresto (sacubitril/ valsartan) "/>
  </r>
  <r>
    <n v="525"/>
    <x v="9"/>
    <x v="10"/>
    <s v="N/A"/>
    <x v="20"/>
    <x v="197"/>
    <x v="2"/>
    <n v="2020"/>
    <s v="Literature review + Expert panel + BIM development + HTA application form"/>
    <s v="Completed (under evaluation)"/>
    <s v="Havetra (enoxaparin)"/>
  </r>
  <r>
    <n v="526"/>
    <x v="9"/>
    <x v="10"/>
    <s v="N/A"/>
    <x v="0"/>
    <x v="198"/>
    <x v="2"/>
    <n v="2020"/>
    <s v="Literature review + Expert panel + CEM &amp; BIM adaptation + HTA application form"/>
    <s v="Completed (under evaluation)"/>
    <s v="Nubeqa (darolutamide)"/>
  </r>
  <r>
    <n v="527"/>
    <x v="9"/>
    <x v="10"/>
    <s v="N/A"/>
    <x v="0"/>
    <x v="199"/>
    <x v="2"/>
    <n v="2021"/>
    <s v="Literature review + Expert panel + CEM &amp; BIM adaptation + HTA application form"/>
    <s v="Completed (not submitted yet)"/>
    <s v="Vitrakvi (larotrectinib)"/>
  </r>
  <r>
    <n v="528"/>
    <x v="9"/>
    <x v="10"/>
    <s v="N/A"/>
    <x v="1"/>
    <x v="200"/>
    <x v="2"/>
    <n v="2021"/>
    <s v="Literature review + Expert panel + CEM &amp; BIM input sheets + HTA application form"/>
    <s v="Ongoing"/>
    <s v="Doptelet (avatrombopag)"/>
  </r>
  <r>
    <n v="529"/>
    <x v="9"/>
    <x v="10"/>
    <s v="N/A"/>
    <x v="23"/>
    <x v="201"/>
    <x v="2"/>
    <n v="2021"/>
    <s v="Literature review + Expert panel + CEM, CpR &amp; BIM adaptation + Objection Handler adaptation + Mock negotiation + HTA application form"/>
    <s v="Ongoing"/>
    <s v="Tremfya (guselkumab)"/>
  </r>
  <r>
    <n v="530"/>
    <x v="9"/>
    <x v="10"/>
    <s v="N/A"/>
    <x v="24"/>
    <x v="202"/>
    <x v="2"/>
    <n v="2021"/>
    <s v="Literature review + Expert panel + COI model development"/>
    <s v="Ongoing"/>
    <s v="Jakavi (ruxolitinib)"/>
  </r>
  <r>
    <n v="531"/>
    <x v="9"/>
    <x v="10"/>
    <s v="N/A"/>
    <x v="7"/>
    <x v="203"/>
    <x v="0"/>
    <n v="2021"/>
    <s v="Literature review + Expert panel + CEM &amp; BIM adaptation "/>
    <s v="Ongoing"/>
    <s v="Tegsedi (inotersen)"/>
  </r>
  <r>
    <n v="532"/>
    <x v="9"/>
    <x v="10"/>
    <s v="N/A"/>
    <x v="25"/>
    <x v="204"/>
    <x v="0"/>
    <n v="2021"/>
    <s v="Literature review + Expert panel + BIM adaptation "/>
    <s v="Completed (under evaluation)"/>
    <s v="Cacipliq"/>
  </r>
  <r>
    <n v="533"/>
    <x v="9"/>
    <x v="10"/>
    <s v="N/A"/>
    <x v="26"/>
    <x v="205"/>
    <x v="2"/>
    <n v="2020"/>
    <s v="Literature review + Expert panel + BIM development"/>
    <s v="Completed (not submitted yet)"/>
    <s v="Bariatric surgery"/>
  </r>
  <r>
    <n v="534"/>
    <x v="10"/>
    <x v="11"/>
    <s v="N/A"/>
    <x v="0"/>
    <x v="206"/>
    <x v="1"/>
    <n v="2019"/>
    <s v="HTA dossiers (clinical+economic+budget impact), CEM adaptation, BIM adaptation, Ad-board"/>
    <s v="Ongoing"/>
    <s v="Larotrectinib"/>
  </r>
  <r>
    <n v="535"/>
    <x v="10"/>
    <x v="11"/>
    <s v="N/A"/>
    <x v="27"/>
    <x v="207"/>
    <x v="1"/>
    <n v="2020"/>
    <s v="HTA dossiers (economic+budget impact), CEM adaptation, BIM adaptation, Expert interviews"/>
    <s v="Positive reimbursement advice"/>
    <s v="Esketamine"/>
  </r>
  <r>
    <n v="536"/>
    <x v="10"/>
    <x v="12"/>
    <s v="N/A"/>
    <x v="0"/>
    <x v="208"/>
    <x v="1"/>
    <n v="2019"/>
    <s v="Reimbursement request, CEM adaptation, BIM adaptation, Expert interviews"/>
    <s v="XXX"/>
    <s v="Neratinib"/>
  </r>
  <r>
    <n v="537"/>
    <x v="10"/>
    <x v="11"/>
    <s v="N/A"/>
    <x v="24"/>
    <x v="209"/>
    <x v="1"/>
    <n v="2020"/>
    <s v="CEM adaptation, Economic HTA dossier, Expert interviews"/>
    <s v="Reimbursed after price negotiation"/>
    <s v="Emicizumab"/>
  </r>
  <r>
    <n v="538"/>
    <x v="10"/>
    <x v="11"/>
    <s v="N/A"/>
    <x v="15"/>
    <x v="210"/>
    <x v="1"/>
    <n v="2020"/>
    <s v="CEM adaptation, Economic HTA dossier, Expert interviews"/>
    <s v="Reimbursed after price negotiation"/>
    <s v="Tezacaftor/ivacaftor"/>
  </r>
  <r>
    <n v="539"/>
    <x v="10"/>
    <x v="11"/>
    <s v="N/A"/>
    <x v="28"/>
    <x v="211"/>
    <x v="3"/>
    <n v="2021"/>
    <s v="HTA dossiers (clinical+economic+budget impact), CEM adaptation, BIM adaptation, Expert interviews"/>
    <s v="Ongoing"/>
    <s v="Axicabtagene ciloleucel (Yescarta®)"/>
  </r>
  <r>
    <n v="540"/>
    <x v="10"/>
    <x v="12"/>
    <s v="N/A"/>
    <x v="0"/>
    <x v="212"/>
    <x v="2"/>
    <n v="2020"/>
    <s v="Reimbursement request, CEM adaptation, BIM adaptation, Expert interviews"/>
    <s v="XXX"/>
    <s v="Encorafenib"/>
  </r>
  <r>
    <n v="541"/>
    <x v="10"/>
    <x v="11"/>
    <s v="N/A"/>
    <x v="28"/>
    <x v="213"/>
    <x v="2"/>
    <n v="2020"/>
    <s v="CEM adaptation, Economic HTA dossier, Expert interviews"/>
    <s v="Price negotiation recommended"/>
    <s v="Polatuzumab vedotin"/>
  </r>
  <r>
    <n v="542"/>
    <x v="10"/>
    <x v="11"/>
    <s v="N/A"/>
    <x v="0"/>
    <x v="214"/>
    <x v="2"/>
    <n v="2021"/>
    <s v="Clincal HTA dossier"/>
    <s v="Ongoing"/>
    <s v="Entrectinib"/>
  </r>
  <r>
    <n v="543"/>
    <x v="10"/>
    <x v="11"/>
    <s v="N/A"/>
    <x v="15"/>
    <x v="215"/>
    <x v="2"/>
    <n v="2021"/>
    <s v="CEM adaptation, Economic HTA dossier, Expert interviews"/>
    <s v="Ongoing"/>
    <s v="Ivacaftor/tezacaftor/elexacaftor"/>
  </r>
  <r>
    <n v="544"/>
    <x v="10"/>
    <x v="11"/>
    <s v="N/A"/>
    <x v="28"/>
    <x v="216"/>
    <x v="0"/>
    <s v="Ongoing"/>
    <s v="HTA dossiers (economic+budget impact), CEM adaptation, BIM adaptation, Expert interviews"/>
    <s v="Ongoing"/>
    <s v="KTE-X19 (Tecartus)"/>
  </r>
  <r>
    <n v="545"/>
    <x v="10"/>
    <x v="11"/>
    <s v="N/A"/>
    <x v="0"/>
    <x v="217"/>
    <x v="0"/>
    <s v="Ongoing"/>
    <s v="HTA dossiers (clinical+economic+budget impact), CEM adaptation, BIM adaptation, Expert interviews"/>
    <s v="Ongoing"/>
    <s v="Sacituzumab Govitecan-hziy"/>
  </r>
  <r>
    <n v="546"/>
    <x v="10"/>
    <x v="11"/>
    <s v="N/A"/>
    <x v="15"/>
    <x v="218"/>
    <x v="0"/>
    <s v="Ongoing"/>
    <s v="CEM adaptation, Economic HTA dossier, Expert interviews"/>
    <s v="Ongoing"/>
    <s v="Risdiplam"/>
  </r>
  <r>
    <n v="547"/>
    <x v="10"/>
    <x v="11"/>
    <s v="N/A"/>
    <x v="15"/>
    <x v="219"/>
    <x v="0"/>
    <s v="Ongoing"/>
    <s v="CEM adaptation, Economic HTA dossier, Expert interviews"/>
    <s v="Ongoing"/>
    <s v="Ivacaftor/tezacaftor/elexacaftor"/>
  </r>
  <r>
    <n v="548"/>
    <x v="10"/>
    <x v="11"/>
    <s v="N/A"/>
    <x v="15"/>
    <x v="220"/>
    <x v="0"/>
    <s v="Ongoing"/>
    <s v="Clincal + budget impact HTA dossier, BIM adaptation, ad-board"/>
    <s v="Ongoing"/>
    <s v="Avacopan"/>
  </r>
  <r>
    <n v="549"/>
    <x v="11"/>
    <x v="13"/>
    <s v="N/A"/>
    <x v="0"/>
    <x v="183"/>
    <x v="3"/>
    <n v="2018"/>
    <s v="Clincal + budget impact HTA dossier, BIM adaptation, ad-board"/>
    <s v="Reimbursed"/>
    <s v="Bini Enco"/>
  </r>
  <r>
    <n v="550"/>
    <x v="12"/>
    <x v="14"/>
    <s v="N/A"/>
    <x v="0"/>
    <x v="183"/>
    <x v="3"/>
    <n v="2018"/>
    <s v="Clincal + budget impact HTA dossier, BIM adaptation, ad-board"/>
    <s v="Reimbursed"/>
    <s v="Bini Enc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4BA4F0-2B73-43B7-A414-BB3124D06896}" name="PivotTable7"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fieldListSortAscending="1">
  <location ref="A2:O14" firstHeaderRow="1" firstDataRow="2" firstDataCol="1"/>
  <pivotFields count="11">
    <pivotField showAll="0"/>
    <pivotField showAll="0">
      <items count="14">
        <item x="11"/>
        <item x="0"/>
        <item x="7"/>
        <item x="4"/>
        <item x="9"/>
        <item x="3"/>
        <item x="6"/>
        <item x="10"/>
        <item x="8"/>
        <item x="1"/>
        <item x="12"/>
        <item x="5"/>
        <item x="2"/>
        <item t="default"/>
      </items>
    </pivotField>
    <pivotField axis="axisCol" dataField="1" showAll="0">
      <items count="16">
        <item x="6"/>
        <item x="2"/>
        <item x="7"/>
        <item x="8"/>
        <item x="4"/>
        <item x="10"/>
        <item x="9"/>
        <item x="5"/>
        <item x="3"/>
        <item x="0"/>
        <item x="1"/>
        <item x="13"/>
        <item x="14"/>
        <item x="11"/>
        <item x="12"/>
        <item t="default"/>
      </items>
    </pivotField>
    <pivotField showAll="0"/>
    <pivotField showAll="0">
      <items count="30">
        <item x="1"/>
        <item x="20"/>
        <item x="3"/>
        <item x="13"/>
        <item x="8"/>
        <item x="23"/>
        <item x="12"/>
        <item x="2"/>
        <item x="11"/>
        <item x="28"/>
        <item x="24"/>
        <item x="9"/>
        <item x="25"/>
        <item x="14"/>
        <item x="7"/>
        <item x="5"/>
        <item x="18"/>
        <item x="0"/>
        <item x="10"/>
        <item x="6"/>
        <item x="27"/>
        <item x="15"/>
        <item x="21"/>
        <item x="22"/>
        <item x="4"/>
        <item x="19"/>
        <item x="26"/>
        <item x="17"/>
        <item x="16"/>
        <item t="default"/>
      </items>
    </pivotField>
    <pivotField showAll="0"/>
    <pivotField axis="axisRow" showAll="0">
      <items count="12">
        <item x="9"/>
        <item x="8"/>
        <item x="7"/>
        <item x="6"/>
        <item x="5"/>
        <item x="4"/>
        <item x="3"/>
        <item x="1"/>
        <item x="2"/>
        <item x="0"/>
        <item h="1" x="10"/>
        <item t="default"/>
      </items>
    </pivotField>
    <pivotField showAll="0"/>
    <pivotField showAll="0"/>
    <pivotField showAll="0" sortType="ascending"/>
    <pivotField showAll="0"/>
  </pivotFields>
  <rowFields count="1">
    <field x="6"/>
  </rowFields>
  <rowItems count="11">
    <i>
      <x/>
    </i>
    <i>
      <x v="1"/>
    </i>
    <i>
      <x v="2"/>
    </i>
    <i>
      <x v="3"/>
    </i>
    <i>
      <x v="4"/>
    </i>
    <i>
      <x v="5"/>
    </i>
    <i>
      <x v="6"/>
    </i>
    <i>
      <x v="7"/>
    </i>
    <i>
      <x v="8"/>
    </i>
    <i>
      <x v="9"/>
    </i>
    <i t="grand">
      <x/>
    </i>
  </rowItems>
  <colFields count="1">
    <field x="2"/>
  </colFields>
  <colItems count="14">
    <i>
      <x/>
    </i>
    <i>
      <x v="1"/>
    </i>
    <i>
      <x v="4"/>
    </i>
    <i>
      <x v="5"/>
    </i>
    <i>
      <x v="6"/>
    </i>
    <i>
      <x v="7"/>
    </i>
    <i>
      <x v="8"/>
    </i>
    <i>
      <x v="9"/>
    </i>
    <i>
      <x v="10"/>
    </i>
    <i>
      <x v="11"/>
    </i>
    <i>
      <x v="12"/>
    </i>
    <i>
      <x v="13"/>
    </i>
    <i>
      <x v="14"/>
    </i>
    <i t="grand">
      <x/>
    </i>
  </colItems>
  <dataFields count="1">
    <dataField name="Count of HTA body" fld="2" subtotal="count" baseField="0" baseItem="0"/>
  </dataFields>
  <chartFormats count="19">
    <chartFormat chart="5" format="51" series="1">
      <pivotArea type="data" outline="0" fieldPosition="0">
        <references count="1">
          <reference field="2" count="1" selected="0">
            <x v="0"/>
          </reference>
        </references>
      </pivotArea>
    </chartFormat>
    <chartFormat chart="5" format="52" series="1">
      <pivotArea type="data" outline="0" fieldPosition="0">
        <references count="1">
          <reference field="2" count="1" selected="0">
            <x v="1"/>
          </reference>
        </references>
      </pivotArea>
    </chartFormat>
    <chartFormat chart="5" format="53" series="1">
      <pivotArea type="data" outline="0" fieldPosition="0">
        <references count="1">
          <reference field="2" count="1" selected="0">
            <x v="4"/>
          </reference>
        </references>
      </pivotArea>
    </chartFormat>
    <chartFormat chart="5" format="54" series="1">
      <pivotArea type="data" outline="0" fieldPosition="0">
        <references count="1">
          <reference field="2" count="1" selected="0">
            <x v="5"/>
          </reference>
        </references>
      </pivotArea>
    </chartFormat>
    <chartFormat chart="5" format="55" series="1">
      <pivotArea type="data" outline="0" fieldPosition="0">
        <references count="1">
          <reference field="2" count="1" selected="0">
            <x v="6"/>
          </reference>
        </references>
      </pivotArea>
    </chartFormat>
    <chartFormat chart="5" format="56" series="1">
      <pivotArea type="data" outline="0" fieldPosition="0">
        <references count="1">
          <reference field="2" count="1" selected="0">
            <x v="7"/>
          </reference>
        </references>
      </pivotArea>
    </chartFormat>
    <chartFormat chart="5" format="57" series="1">
      <pivotArea type="data" outline="0" fieldPosition="0">
        <references count="1">
          <reference field="2" count="1" selected="0">
            <x v="8"/>
          </reference>
        </references>
      </pivotArea>
    </chartFormat>
    <chartFormat chart="5" format="58" series="1">
      <pivotArea type="data" outline="0" fieldPosition="0">
        <references count="1">
          <reference field="2" count="1" selected="0">
            <x v="9"/>
          </reference>
        </references>
      </pivotArea>
    </chartFormat>
    <chartFormat chart="5" format="59" series="1">
      <pivotArea type="data" outline="0" fieldPosition="0">
        <references count="1">
          <reference field="2" count="1" selected="0">
            <x v="10"/>
          </reference>
        </references>
      </pivotArea>
    </chartFormat>
    <chartFormat chart="5" format="60" series="1">
      <pivotArea type="data" outline="0" fieldPosition="0">
        <references count="1">
          <reference field="2" count="1" selected="0">
            <x v="11"/>
          </reference>
        </references>
      </pivotArea>
    </chartFormat>
    <chartFormat chart="5" format="61" series="1">
      <pivotArea type="data" outline="0" fieldPosition="0">
        <references count="1">
          <reference field="2" count="1" selected="0">
            <x v="12"/>
          </reference>
        </references>
      </pivotArea>
    </chartFormat>
    <chartFormat chart="5" format="62" series="1">
      <pivotArea type="data" outline="0" fieldPosition="0">
        <references count="1">
          <reference field="2" count="1" selected="0">
            <x v="13"/>
          </reference>
        </references>
      </pivotArea>
    </chartFormat>
    <chartFormat chart="5" format="63" series="1">
      <pivotArea type="data" outline="0" fieldPosition="0">
        <references count="1">
          <reference field="2" count="1" selected="0">
            <x v="14"/>
          </reference>
        </references>
      </pivotArea>
    </chartFormat>
    <chartFormat chart="5" format="64" series="1">
      <pivotArea type="data" outline="0" fieldPosition="0">
        <references count="2">
          <reference field="4294967294" count="1" selected="0">
            <x v="0"/>
          </reference>
          <reference field="2" count="1" selected="0">
            <x v="9"/>
          </reference>
        </references>
      </pivotArea>
    </chartFormat>
    <chartFormat chart="5" format="65" series="1">
      <pivotArea type="data" outline="0" fieldPosition="0">
        <references count="2">
          <reference field="4294967294" count="1" selected="0">
            <x v="0"/>
          </reference>
          <reference field="2" count="1" selected="0">
            <x v="10"/>
          </reference>
        </references>
      </pivotArea>
    </chartFormat>
    <chartFormat chart="5" format="66" series="1">
      <pivotArea type="data" outline="0" fieldPosition="0">
        <references count="2">
          <reference field="4294967294" count="1" selected="0">
            <x v="0"/>
          </reference>
          <reference field="2" count="1" selected="0">
            <x v="11"/>
          </reference>
        </references>
      </pivotArea>
    </chartFormat>
    <chartFormat chart="5" format="67" series="1">
      <pivotArea type="data" outline="0" fieldPosition="0">
        <references count="2">
          <reference field="4294967294" count="1" selected="0">
            <x v="0"/>
          </reference>
          <reference field="2" count="1" selected="0">
            <x v="12"/>
          </reference>
        </references>
      </pivotArea>
    </chartFormat>
    <chartFormat chart="5" format="68" series="1">
      <pivotArea type="data" outline="0" fieldPosition="0">
        <references count="2">
          <reference field="4294967294" count="1" selected="0">
            <x v="0"/>
          </reference>
          <reference field="2" count="1" selected="0">
            <x v="13"/>
          </reference>
        </references>
      </pivotArea>
    </chartFormat>
    <chartFormat chart="5" format="69" series="1">
      <pivotArea type="data" outline="0" fieldPosition="0">
        <references count="2">
          <reference field="4294967294" count="1" selected="0">
            <x v="0"/>
          </reference>
          <reference field="2" count="1" selected="0">
            <x v="14"/>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FB3487-D636-4F65-8FD9-CFDA314A23F0}" name="PivotTable2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H9" firstHeaderRow="1" firstDataRow="2" firstDataCol="1"/>
  <pivotFields count="6">
    <pivotField showAll="0">
      <items count="8">
        <item x="0"/>
        <item x="5"/>
        <item x="1"/>
        <item x="2"/>
        <item x="3"/>
        <item x="6"/>
        <item x="4"/>
        <item t="default"/>
      </items>
    </pivotField>
    <pivotField showAll="0"/>
    <pivotField axis="axisRow" showAll="0">
      <items count="6">
        <item x="0"/>
        <item x="1"/>
        <item x="2"/>
        <item x="3"/>
        <item n="Misc" x="4"/>
        <item t="default"/>
      </items>
    </pivotField>
    <pivotField showAll="0"/>
    <pivotField axis="axisCol" dataField="1" showAll="0">
      <items count="7">
        <item x="5"/>
        <item x="3"/>
        <item x="0"/>
        <item x="4"/>
        <item x="2"/>
        <item x="1"/>
        <item t="default"/>
      </items>
    </pivotField>
    <pivotField showAll="0"/>
  </pivotFields>
  <rowFields count="1">
    <field x="2"/>
  </rowFields>
  <rowItems count="6">
    <i>
      <x/>
    </i>
    <i>
      <x v="1"/>
    </i>
    <i>
      <x v="2"/>
    </i>
    <i>
      <x v="3"/>
    </i>
    <i>
      <x v="4"/>
    </i>
    <i t="grand">
      <x/>
    </i>
  </rowItems>
  <colFields count="1">
    <field x="4"/>
  </colFields>
  <colItems count="7">
    <i>
      <x/>
    </i>
    <i>
      <x v="1"/>
    </i>
    <i>
      <x v="2"/>
    </i>
    <i>
      <x v="3"/>
    </i>
    <i>
      <x v="4"/>
    </i>
    <i>
      <x v="5"/>
    </i>
    <i t="grand">
      <x/>
    </i>
  </colItems>
  <dataFields count="1">
    <dataField name="Count of Year" fld="4" subtotal="count" baseField="2" baseItem="0"/>
  </dataFields>
  <chartFormats count="11">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0" format="8" series="1">
      <pivotArea type="data" outline="0" fieldPosition="0">
        <references count="2">
          <reference field="4294967294" count="1" selected="0">
            <x v="0"/>
          </reference>
          <reference field="2" count="1" selected="0">
            <x v="2"/>
          </reference>
        </references>
      </pivotArea>
    </chartFormat>
    <chartFormat chart="0" format="9" series="1">
      <pivotArea type="data" outline="0" fieldPosition="0">
        <references count="2">
          <reference field="4294967294" count="1" selected="0">
            <x v="0"/>
          </reference>
          <reference field="2" count="1" selected="0">
            <x v="3"/>
          </reference>
        </references>
      </pivotArea>
    </chartFormat>
    <chartFormat chart="0" format="10" series="1">
      <pivotArea type="data" outline="0" fieldPosition="0">
        <references count="2">
          <reference field="4294967294" count="1" selected="0">
            <x v="0"/>
          </reference>
          <reference field="2" count="1" selected="0">
            <x v="4"/>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DD0A66-EFAB-411E-B6F9-BE3AD1EFC523}" name="PivotTable2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I29" firstHeaderRow="1" firstDataRow="2" firstDataCol="1"/>
  <pivotFields count="4">
    <pivotField showAll="0"/>
    <pivotField axis="axisRow" dataField="1" showAll="0">
      <items count="25">
        <item x="2"/>
        <item x="23"/>
        <item x="0"/>
        <item x="7"/>
        <item x="8"/>
        <item x="22"/>
        <item x="13"/>
        <item x="9"/>
        <item x="11"/>
        <item x="4"/>
        <item x="15"/>
        <item x="12"/>
        <item x="17"/>
        <item x="16"/>
        <item x="3"/>
        <item x="1"/>
        <item x="5"/>
        <item x="6"/>
        <item x="18"/>
        <item x="14"/>
        <item x="10"/>
        <item x="19"/>
        <item x="20"/>
        <item x="21"/>
        <item t="default"/>
      </items>
    </pivotField>
    <pivotField axis="axisCol" showAll="0">
      <items count="8">
        <item x="0"/>
        <item x="1"/>
        <item x="2"/>
        <item x="3"/>
        <item x="4"/>
        <item x="5"/>
        <item x="6"/>
        <item t="default"/>
      </items>
    </pivotField>
    <pivotField showAl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8">
    <i>
      <x/>
    </i>
    <i>
      <x v="1"/>
    </i>
    <i>
      <x v="2"/>
    </i>
    <i>
      <x v="3"/>
    </i>
    <i>
      <x v="4"/>
    </i>
    <i>
      <x v="5"/>
    </i>
    <i>
      <x v="6"/>
    </i>
    <i t="grand">
      <x/>
    </i>
  </colItems>
  <dataFields count="1">
    <dataField name="Count of Indication" fld="1" subtotal="count"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2FEF395-5216-4EE5-A6D4-82DFAA589FA8}" name="Table12" displayName="Table12" ref="A1:K551" totalsRowShown="0" headerRowDxfId="152" tableBorderDxfId="151">
  <autoFilter ref="A1:K551" xr:uid="{1FA73C34-B605-4A8B-A024-74D58F5F18D3}"/>
  <tableColumns count="11">
    <tableColumn id="1" xr3:uid="{1BF076A9-B4D1-4922-8D2C-38A74637F5A9}" name="Number" dataDxfId="150"/>
    <tableColumn id="2" xr3:uid="{4E75F901-8CFF-4514-9942-FA9FEB551613}" name="EMEA team" dataDxfId="149"/>
    <tableColumn id="3" xr3:uid="{97A21BE2-6691-4376-B211-D00738982440}" name="HTA body" dataDxfId="148"/>
    <tableColumn id="4" xr3:uid="{406C1254-DC5E-441D-BD06-2AAF5B09EF9A}" name="Subcategory" dataDxfId="147"/>
    <tableColumn id="5" xr3:uid="{0F0A7CE4-6DCF-40DC-90E5-CEB585DC481D}" name="Therapy area" dataDxfId="146"/>
    <tableColumn id="6" xr3:uid="{25CBD63B-FB0A-42F2-BF55-E95790BD29B9}" name="Indication" dataDxfId="145"/>
    <tableColumn id="7" xr3:uid="{80B94849-D719-400E-8161-D35031779D02}" name="Year"/>
    <tableColumn id="8" xr3:uid="{7D34D69D-BB5F-4DFC-98D3-0C3545FEFCB9}" name="End Year"/>
    <tableColumn id="9" xr3:uid="{B18AECB6-B13C-4762-B8AF-A5E05007B995}" name="Scope of IQVIA support" dataDxfId="144"/>
    <tableColumn id="10" xr3:uid="{D2575C23-B253-4B82-AA5F-258F890CD585}" name="Outcome"/>
    <tableColumn id="11" xr3:uid="{71EB93C3-4C8C-489D-88DC-E71A65D067F3}" name="Product/indication"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4AAF3B-7D6B-4EFA-95F7-5427BC322FE0}" name="Table1" displayName="Table1" ref="A1:F15" totalsRowShown="0" headerRowDxfId="143" dataDxfId="141" headerRowBorderDxfId="142" tableBorderDxfId="140">
  <autoFilter ref="A1:F15" xr:uid="{A7F1179A-8A6F-4968-8F7D-3EBD7B84D082}"/>
  <sortState xmlns:xlrd2="http://schemas.microsoft.com/office/spreadsheetml/2017/richdata2" ref="A2:F15">
    <sortCondition ref="C1:C15"/>
  </sortState>
  <tableColumns count="6">
    <tableColumn id="1" xr3:uid="{2C7E8CF5-9E26-4245-9E0A-0563721C271D}" name="HTA body" dataDxfId="139"/>
    <tableColumn id="2" xr3:uid="{C55C4A9C-4EC7-402C-90C9-1133B522553D}" name="Regulatory body, if included" dataDxfId="138"/>
    <tableColumn id="3" xr3:uid="{CE3C1D58-5ADB-4843-B84E-0FD634FA0119}" name="Therapy area" dataDxfId="137"/>
    <tableColumn id="4" xr3:uid="{1439E908-C2EA-4C68-9C91-4D323B93B176}" name="Indication" dataDxfId="136"/>
    <tableColumn id="5" xr3:uid="{C5A20A86-435E-4E44-A4DD-864D0CE4021C}" name="Year" dataDxfId="135"/>
    <tableColumn id="6" xr3:uid="{16FC50D9-E859-4BCC-AE07-6B5987A63E39}" name="Product"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2CDCD6-5E95-4D6D-B21E-29B1E5ECE0B9}" name="Table2" displayName="Table2" ref="A1:D25" totalsRowShown="0" headerRowDxfId="134" dataDxfId="132" headerRowBorderDxfId="133" tableBorderDxfId="131" totalsRowBorderDxfId="130">
  <autoFilter ref="A1:D25" xr:uid="{934AA623-1519-41ED-ABF6-FBE70FAF0C67}"/>
  <sortState xmlns:xlrd2="http://schemas.microsoft.com/office/spreadsheetml/2017/richdata2" ref="A2:D25">
    <sortCondition ref="C1:C25"/>
  </sortState>
  <tableColumns count="4">
    <tableColumn id="1" xr3:uid="{3D6C6C47-117B-477E-A8F5-ACA500519A9B}" name="Therapy area" dataDxfId="129"/>
    <tableColumn id="2" xr3:uid="{CF7D21FA-34B5-483C-B7FF-C5C4F629286B}" name="Indication" dataDxfId="128"/>
    <tableColumn id="3" xr3:uid="{35A35305-EB24-4B9B-8D3D-8621C407A9C8}" name="Year" dataDxfId="1"/>
    <tableColumn id="4" xr3:uid="{773742ED-F180-43DB-8089-C1652800D00B}" name="Product"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095235-4FEB-49D5-9A5F-68876E825A35}" name="Table4" displayName="Table4" ref="A5:K18" totalsRowShown="0" dataDxfId="126" headerRowBorderDxfId="127" tableBorderDxfId="125" totalsRowBorderDxfId="124">
  <autoFilter ref="A5:K18" xr:uid="{4D54AAA1-6FD1-4EFF-8E94-00B06D22133E}">
    <filterColumn colId="0">
      <filters>
        <filter val="2012"/>
        <filter val="2013"/>
        <filter val="2014"/>
        <filter val="2015"/>
        <filter val="2016"/>
        <filter val="2017"/>
        <filter val="2018"/>
        <filter val="2019"/>
        <filter val="2020"/>
        <filter val="2021"/>
        <filter val="Total"/>
      </filters>
    </filterColumn>
  </autoFilter>
  <sortState xmlns:xlrd2="http://schemas.microsoft.com/office/spreadsheetml/2017/richdata2" ref="A6:K18">
    <sortCondition ref="A5:A18"/>
  </sortState>
  <tableColumns count="11">
    <tableColumn id="1" xr3:uid="{4460E132-7D16-4858-B3C1-E9A49DDB45CE}" name="Year" dataDxfId="123"/>
    <tableColumn id="2" xr3:uid="{DBFBBA4F-B37A-42FF-95DB-000C347F0F3E}" name="NICE" dataDxfId="122"/>
    <tableColumn id="3" xr3:uid="{3BE9D424-0140-4827-9D5A-BEE5F3A869A0}" name="SMC" dataDxfId="121"/>
    <tableColumn id="4" xr3:uid="{070F6FB8-EAE1-40C6-8495-5E21FAAA16BD}" name="AWMSG" dataDxfId="120"/>
    <tableColumn id="5" xr3:uid="{8BBEE0DA-73BC-4BAD-BDE2-61D5A8B1F399}" name="NCPE" dataDxfId="119"/>
    <tableColumn id="6" xr3:uid="{710E533F-2162-4668-A1C7-DDF4B8EF6005}" name="G-BA" dataDxfId="118"/>
    <tableColumn id="7" xr3:uid="{A4FB9DEF-1D43-48EF-BD7F-753C8863300A}" name="AIFA" dataDxfId="117"/>
    <tableColumn id="8" xr3:uid="{A9EE7ED5-DFEA-46EC-8439-BF1EBD77E0F9}" name="AEMPS" dataDxfId="116"/>
    <tableColumn id="9" xr3:uid="{535527A2-81F9-41E6-B18A-1CD3C2252F05}" name="CEESP" dataDxfId="115"/>
    <tableColumn id="10" xr3:uid="{11003D5E-59F4-4BA3-892E-59352173D082}" name="CT" dataDxfId="114"/>
    <tableColumn id="11" xr3:uid="{0D6540D8-B61A-4A01-A091-DA1CCAF81A82}" name="Total" dataDxfId="113">
      <calculatedColumnFormula>SUM(B6:J6)</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D33E6A-3DCF-4A51-A9BB-4214435B3281}" name="Table5" displayName="Table5" ref="A47:L66" totalsRowShown="0" headerRowDxfId="112" dataDxfId="110" headerRowBorderDxfId="111" tableBorderDxfId="109" totalsRowBorderDxfId="108">
  <autoFilter ref="A47:L66" xr:uid="{A228FBD7-BDE6-462B-B3B7-BC2678D69593}">
    <filterColumn colId="0">
      <filters>
        <filter val="All countries"/>
        <filter val="Czech Republic"/>
        <filter val="England"/>
        <filter val="France"/>
        <filter val="Germany"/>
        <filter val="Greece"/>
        <filter val="Ireland"/>
        <filter val="Italy"/>
        <filter val="Netherlands"/>
        <filter val="Portugal"/>
        <filter val="Scotland"/>
        <filter val="Slovakia"/>
        <filter val="Spain"/>
        <filter val="Wales"/>
      </filters>
    </filterColumn>
  </autoFilter>
  <tableColumns count="12">
    <tableColumn id="1" xr3:uid="{189D0C7D-669B-4CC0-B9C5-D5705F21174C}" name="Country" dataDxfId="107">
      <calculatedColumnFormula>'Local HTA submissions'!AA2</calculatedColumnFormula>
    </tableColumn>
    <tableColumn id="2" xr3:uid="{EAB242B7-98C4-4796-B375-CDF358256B7C}" name="2012" dataDxfId="106">
      <calculatedColumnFormula>COUNTIFS('Local HTA submissions'!$B:$B,'By year'!$A48,'Local HTA submissions'!$H:$H,'By year'!B$47)</calculatedColumnFormula>
    </tableColumn>
    <tableColumn id="3" xr3:uid="{D364C4C1-A03E-428B-B8FC-3405513DC4B8}" name="2013" dataDxfId="105">
      <calculatedColumnFormula>COUNTIFS('Local HTA submissions'!$B:$B,'By year'!$A48,'Local HTA submissions'!$H:$H,'By year'!C$47)</calculatedColumnFormula>
    </tableColumn>
    <tableColumn id="4" xr3:uid="{81DD0ADC-038D-4A85-9666-EFE54F6CBB2E}" name="2014" dataDxfId="104">
      <calculatedColumnFormula>COUNTIFS('Local HTA submissions'!$B:$B,'By year'!$A48,'Local HTA submissions'!$H:$H,'By year'!D$47)</calculatedColumnFormula>
    </tableColumn>
    <tableColumn id="5" xr3:uid="{F6FF4032-E68B-4523-A7D5-0C396BAEC787}" name="2015" dataDxfId="103">
      <calculatedColumnFormula>COUNTIFS('Local HTA submissions'!$B:$B,'By year'!$A48,'Local HTA submissions'!$H:$H,'By year'!E$47)</calculatedColumnFormula>
    </tableColumn>
    <tableColumn id="6" xr3:uid="{997383C8-0178-474A-8174-56B042C63D02}" name="2016" dataDxfId="102">
      <calculatedColumnFormula>COUNTIFS('Local HTA submissions'!$B:$B,'By year'!$A48,'Local HTA submissions'!$H:$H,'By year'!F$47)</calculatedColumnFormula>
    </tableColumn>
    <tableColumn id="7" xr3:uid="{17192D55-A83D-4FEC-80D2-1AB7D65440F9}" name="2017" dataDxfId="101">
      <calculatedColumnFormula>COUNTIFS('Local HTA submissions'!$B:$B,'By year'!$A48,'Local HTA submissions'!$H:$H,'By year'!G$47)</calculatedColumnFormula>
    </tableColumn>
    <tableColumn id="8" xr3:uid="{B64B79B6-7140-436B-95CC-967ADEC29BA8}" name="2018" dataDxfId="100">
      <calculatedColumnFormula>COUNTIFS('Local HTA submissions'!$B:$B,'By year'!$A48,'Local HTA submissions'!$H:$H,'By year'!H$47)</calculatedColumnFormula>
    </tableColumn>
    <tableColumn id="9" xr3:uid="{E018329C-F8AF-42D3-8041-B4050486DD2F}" name="2019" dataDxfId="99">
      <calculatedColumnFormula>COUNTIFS('Local HTA submissions'!$B:$B,'By year'!$A48,'Local HTA submissions'!$H:$H,'By year'!I$47)</calculatedColumnFormula>
    </tableColumn>
    <tableColumn id="10" xr3:uid="{D4368BDF-9A3B-41AA-9D65-542A998558BB}" name="2020" dataDxfId="98">
      <calculatedColumnFormula>COUNTIFS('Local HTA submissions'!$B:$B,'By year'!$A48,'Local HTA submissions'!$H:$H,'By year'!J$47)</calculatedColumnFormula>
    </tableColumn>
    <tableColumn id="11" xr3:uid="{FC83542D-7C5E-4E06-94D9-E9724DAC3910}" name="2021" dataDxfId="97">
      <calculatedColumnFormula>COUNTIFS('Local HTA submissions'!$B:$B,'By year'!$A48,'Local HTA submissions'!$H:$H,'By year'!K$47)</calculatedColumnFormula>
    </tableColumn>
    <tableColumn id="12" xr3:uid="{C006DF28-BF98-4B91-B97D-5BD62643B988}" name="Total" dataDxfId="96">
      <calculatedColumnFormula>SUM(B48:K48)</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98FCF74-AE4A-449D-A22F-BD22471BBCE8}" name="Table6" displayName="Table6" ref="A92:I106" totalsRowShown="0" headerRowDxfId="95" dataDxfId="93" headerRowBorderDxfId="94" tableBorderDxfId="92" totalsRowBorderDxfId="91">
  <autoFilter ref="A92:I106" xr:uid="{AFBEC30C-9BB7-4500-B246-852CD0E66CC7}">
    <filterColumn colId="0">
      <filters>
        <filter val="2016"/>
        <filter val="2017"/>
        <filter val="2018"/>
        <filter val="2019"/>
        <filter val="2020"/>
        <filter val="2021"/>
      </filters>
    </filterColumn>
  </autoFilter>
  <sortState xmlns:xlrd2="http://schemas.microsoft.com/office/spreadsheetml/2017/richdata2" ref="A93:I106">
    <sortCondition ref="A92:A106"/>
  </sortState>
  <tableColumns count="9">
    <tableColumn id="1" xr3:uid="{85E2AFA4-4F98-46BE-BC9E-24AD94228158}" name="Year" dataDxfId="90">
      <calculatedColumnFormula>'HTA scientific advice'!N2</calculatedColumnFormula>
    </tableColumn>
    <tableColumn id="2" xr3:uid="{A5D34B6D-9182-4416-94E3-37A793A05879}" name="CADTH" dataDxfId="89">
      <calculatedColumnFormula>COUNTIFS(Table1[Year],'By year'!$A93,Table1[HTA body],'By year'!B$92)</calculatedColumnFormula>
    </tableColumn>
    <tableColumn id="3" xr3:uid="{DF701506-F8CD-4E56-BC89-6A24B336C68E}" name="EUnetHTA" dataDxfId="88">
      <calculatedColumnFormula>COUNTIFS(Table1[Year],'By year'!$A93,Table1[HTA body],'By year'!C$92)</calculatedColumnFormula>
    </tableColumn>
    <tableColumn id="4" xr3:uid="{586D007B-EE78-4763-819E-7F68C0A9654B}" name="G-BA" dataDxfId="87">
      <calculatedColumnFormula>COUNTIFS(Table1[Year],'By year'!$A93,Table1[HTA body],'By year'!D$92)</calculatedColumnFormula>
    </tableColumn>
    <tableColumn id="5" xr3:uid="{8ED66BB9-F1D7-48A6-9B72-1E5A8C9BEF3E}" name="HAS" dataDxfId="86">
      <calculatedColumnFormula>COUNTIFS(Table1[Year],'By year'!$A93,Table1[HTA body],'By year'!E$92)</calculatedColumnFormula>
    </tableColumn>
    <tableColumn id="6" xr3:uid="{C27D4A90-F739-4440-8D39-6D4F98468C13}" name="NICE" dataDxfId="85">
      <calculatedColumnFormula>COUNTIFS(Table1[Year],'By year'!$A93,Table1[HTA body],'By year'!F$92)</calculatedColumnFormula>
    </tableColumn>
    <tableColumn id="7" xr3:uid="{441D0972-8D59-45FF-BE02-1E4E01757DA9}" name="Parallel EMA / HTA" dataDxfId="84">
      <calculatedColumnFormula>COUNTIFS(Table1[Year],'By year'!$A93,Table1[HTA body],'By year'!G$92)</calculatedColumnFormula>
    </tableColumn>
    <tableColumn id="8" xr3:uid="{194205FA-D4DC-4D4B-A8EA-B0F62C330084}" name="ZIN" dataDxfId="83">
      <calculatedColumnFormula>COUNTIFS(Table1[Year],'By year'!$A93,Table1[HTA body],'By year'!H$92)</calculatedColumnFormula>
    </tableColumn>
    <tableColumn id="9" xr3:uid="{11F2F6AC-D1A7-423E-827B-D4F5E89279CF}" name="Total" dataDxfId="82">
      <calculatedColumnFormula>SUM(B93:H93)</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F44F94E-8519-477B-A003-EA9C386B766E}" name="Table7" displayName="Table7" ref="A135:I170" totalsRowShown="0" headerRowDxfId="81" dataDxfId="79" headerRowBorderDxfId="80" tableBorderDxfId="78">
  <autoFilter ref="A135:I170" xr:uid="{0EC8A390-626B-425B-9384-6FFB533F0557}">
    <filterColumn colId="0">
      <filters>
        <filter val="Acromegaly product"/>
        <filter val="Advanced renal cell carcinoma"/>
        <filter val="Anticoagulant product in venous thromboembolism"/>
        <filter val="Asthma product"/>
        <filter val="Chronic Obstructive Pulmonary Disease product"/>
        <filter val="COVID-19 infection"/>
        <filter val="Cutaneous melanoma product"/>
        <filter val="Diabetic peripheral neuropathy/post-herpetic neuralgia product"/>
        <filter val="Digital treatment program for depression"/>
        <filter val="DPP-4 / SGLT-2 combination product in T2DM (update)"/>
        <filter val="Epilepsy product (update)"/>
        <filter val="GLP-1 agonist product in T2DM"/>
        <filter val="Hepatocellular cell carcinoma/renal cell carcinoma product"/>
        <filter val="HIV product"/>
        <filter val="Hyperkalemia product"/>
        <filter val="Mantle Cell Lymphoma product"/>
        <filter val="Melanoma"/>
        <filter val="Metastatic colorectal cancer product"/>
        <filter val="Non Hodgkin Lymphoma"/>
        <filter val="Non-small cell lung cancer IO product"/>
        <filter val="Pseudomonas aeruginosa anti-infective product"/>
        <filter val="Relapsed/refractory AML product"/>
        <filter val="Unresectable malignant pleural mesothelioma"/>
        <filter val="von Willebrand disease (an inherited bleeding disorder)"/>
      </filters>
    </filterColumn>
  </autoFilter>
  <sortState xmlns:xlrd2="http://schemas.microsoft.com/office/spreadsheetml/2017/richdata2" ref="A136:I170">
    <sortCondition ref="A135:A170"/>
  </sortState>
  <tableColumns count="9">
    <tableColumn id="1" xr3:uid="{C6EC285B-0E65-4185-A49E-FA27E347582A}" name="Indication" dataDxfId="77">
      <calculatedColumnFormula>'Local HTA submissions'!AE2</calculatedColumnFormula>
    </tableColumn>
    <tableColumn id="2" xr3:uid="{643FD99E-54A6-42AA-9A7D-5698EA651C2F}" name="2015" dataDxfId="76">
      <calculatedColumnFormula>COUNTIFS(Table2[Indication],'By year'!$A136,Table2[Year],'By year'!B$135)</calculatedColumnFormula>
    </tableColumn>
    <tableColumn id="3" xr3:uid="{3873B19A-C072-4EC2-871F-DF26A308CAD8}" name="2016" dataDxfId="75">
      <calculatedColumnFormula>COUNTIFS(Table2[Indication],'By year'!$A136,Table2[Year],'By year'!C$135)</calculatedColumnFormula>
    </tableColumn>
    <tableColumn id="4" xr3:uid="{F7F61DE0-2062-4501-BE79-A58BECF1ABD9}" name="2017" dataDxfId="74">
      <calculatedColumnFormula>COUNTIFS(Table2[Indication],'By year'!$A136,Table2[Year],'By year'!D$135)</calculatedColumnFormula>
    </tableColumn>
    <tableColumn id="5" xr3:uid="{BBF14C86-DE84-4AF7-9416-E29D7DADB19C}" name="2018" dataDxfId="73">
      <calculatedColumnFormula>COUNTIFS(Table2[Indication],'By year'!$A136,Table2[Year],'By year'!E$135)</calculatedColumnFormula>
    </tableColumn>
    <tableColumn id="6" xr3:uid="{AEA2996E-D146-4531-AC69-31174D6C46CA}" name="2019" dataDxfId="72">
      <calculatedColumnFormula>COUNTIFS(Table2[Indication],'By year'!$A136,Table2[Year],'By year'!F$135)</calculatedColumnFormula>
    </tableColumn>
    <tableColumn id="7" xr3:uid="{E476571F-F0E9-40E4-9EFD-C7FFA22730DD}" name="2020" dataDxfId="71">
      <calculatedColumnFormula>COUNTIFS(Table2[Indication],'By year'!$A136,Table2[Year],'By year'!G$135)</calculatedColumnFormula>
    </tableColumn>
    <tableColumn id="8" xr3:uid="{6C91F647-6513-4147-801B-9D4FF58999A5}" name="2021" dataDxfId="70">
      <calculatedColumnFormula>COUNTIFS(Table2[Indication],'By year'!$A136,Table2[Year],'By year'!H$135)</calculatedColumnFormula>
    </tableColumn>
    <tableColumn id="9" xr3:uid="{1AE34788-E33A-4B10-9208-B59169496580}" name="Total" dataDxfId="6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D3FB84-B092-4067-ACFC-B0E402D4F216}" name="Table8" displayName="Table8" ref="A144:I154" totalsRowShown="0" headerRowDxfId="68" dataDxfId="66" headerRowBorderDxfId="67" tableBorderDxfId="65">
  <autoFilter ref="A144:I154" xr:uid="{3579F68B-05EC-48B9-9CEE-E52C89977793}">
    <filterColumn colId="0">
      <filters>
        <filter val="Dermatology"/>
        <filter val="Haemato-oncology"/>
        <filter val="Nephrology"/>
        <filter val="Oncology"/>
        <filter val="Total"/>
        <filter val="Various"/>
      </filters>
    </filterColumn>
  </autoFilter>
  <tableColumns count="9">
    <tableColumn id="1" xr3:uid="{D3E70EE0-A145-49B9-A529-2B029090AA48}" name="Therapy area" dataDxfId="64">
      <calculatedColumnFormula>'HTA scientific advice'!L2</calculatedColumnFormula>
    </tableColumn>
    <tableColumn id="2" xr3:uid="{BCE4BDB5-FC03-438B-9D17-C51F4B956AFC}" name="2016" dataDxfId="63"/>
    <tableColumn id="3" xr3:uid="{2D4A1584-49E7-4A5D-8394-9D55FE9CE65D}" name="2017" dataDxfId="62"/>
    <tableColumn id="4" xr3:uid="{86EAEC43-EBEA-420A-B3C5-4E2376E0CB08}" name="2018" dataDxfId="61"/>
    <tableColumn id="5" xr3:uid="{265FDA98-057A-4B3B-8B11-793D1D607938}" name="2019" dataDxfId="60"/>
    <tableColumn id="6" xr3:uid="{5D4F5EAB-EF75-4528-8412-C52CC1E26EC1}" name="2020" dataDxfId="59"/>
    <tableColumn id="7" xr3:uid="{97DA285C-EF75-4E08-AE4B-83F697E3FB6D}" name="2021" dataDxfId="58"/>
    <tableColumn id="8" xr3:uid="{34477F9B-F3D7-42D1-B6C6-7CDAAE0B5810}" name="Total" dataDxfId="57"/>
    <tableColumn id="9" xr3:uid="{AEF95CD9-553F-4708-BE32-C3D08BC7E70F}" name="Percentage" dataDxfId="56" dataCellStyle="Percen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64A8962-6567-481E-B44A-D9BBA17F5DDD}" name="Table9" displayName="Table9" ref="A191:J209" totalsRowShown="0" headerRowDxfId="55" dataDxfId="53" headerRowBorderDxfId="54" tableBorderDxfId="52">
  <autoFilter ref="A191:J209" xr:uid="{A562847C-7D70-4314-9004-4BB92F047CC2}">
    <filterColumn colId="0">
      <filters>
        <filter val="Cardiorenal/Metabolic"/>
        <filter val="Central nervous system"/>
        <filter val="Haematology"/>
        <filter val="Haemato-oncology"/>
        <filter val="Infectious diseases"/>
        <filter val="Mental illness"/>
        <filter val="Metabolic/Endocrine Disorders"/>
        <filter val="Oncology"/>
        <filter val="Respiratory"/>
        <filter val="Total"/>
      </filters>
    </filterColumn>
  </autoFilter>
  <tableColumns count="10">
    <tableColumn id="1" xr3:uid="{726F2181-22F1-4A32-B110-66211A8EF9BB}" name="Therapy area" dataDxfId="51"/>
    <tableColumn id="2" xr3:uid="{8AEABE47-83D9-4A6B-825D-EE7B9EC50C84}" name="2015" dataDxfId="50"/>
    <tableColumn id="3" xr3:uid="{0083A3FF-6410-4AAF-B076-E70AEEECBAD0}" name="2016" dataDxfId="49"/>
    <tableColumn id="4" xr3:uid="{2CCD8892-B1BC-41B6-9A3B-8BCBB1E2E417}" name="2017" dataDxfId="48"/>
    <tableColumn id="5" xr3:uid="{9881AC8C-BCBC-4E33-93E1-EE6F6C3CC2DA}" name="2018" dataDxfId="47"/>
    <tableColumn id="6" xr3:uid="{3BD02D6D-08FF-45BE-AD28-439818E43887}" name="2019" dataDxfId="46"/>
    <tableColumn id="7" xr3:uid="{03E36380-CBD0-4983-9EB3-7F36E43BF4E6}" name="2020" dataDxfId="45"/>
    <tableColumn id="8" xr3:uid="{17D54F2A-FF74-4021-9320-953AB6B61302}" name="2021" dataDxfId="44"/>
    <tableColumn id="9" xr3:uid="{44A193CC-8E74-446A-B0B5-D2F76117661B}" name="Total" dataDxfId="43">
      <calculatedColumnFormula>SUM(B192:H192)</calculatedColumnFormula>
    </tableColumn>
    <tableColumn id="10" xr3:uid="{0CFE7C9B-C055-4B34-808D-27EBF336A926}" name="Percentage" dataDxfId="42" dataCellStyle="Perce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83DC20A-4567-4FC3-8722-149ECB2DBF6B}" name="Table11" displayName="Table11" ref="A73:M106" totalsRowShown="0" headerRowDxfId="41" dataDxfId="39" headerRowBorderDxfId="40" tableBorderDxfId="38" totalsRowBorderDxfId="37">
  <autoFilter ref="A73:M106" xr:uid="{2B47F0DA-007D-40D2-8D3E-61C0F7FEB579}">
    <filterColumn colId="0">
      <filters>
        <filter val="Blood and immune system"/>
        <filter val="Cardiology"/>
        <filter val="Cardiovascular diseases"/>
        <filter val="Central nervous system"/>
        <filter val="Dermatology"/>
        <filter val="Dermatology/ Rheumatology"/>
        <filter val="Digestive system"/>
        <filter val="Gastroenterology"/>
        <filter val="Gynacology"/>
        <filter val="Haemato-oncology"/>
        <filter val="Hematology"/>
        <filter val="Infectious diseases"/>
        <filter val="Medical device"/>
        <filter val="Mental and behavioural disorders"/>
        <filter val="Metabolic/Endocrine Disorders"/>
        <filter val="Muscoloskeletal"/>
        <filter val="Neurology"/>
        <filter val="Oncology"/>
        <filter val="Ophthalmology"/>
        <filter val="Other/None"/>
        <filter val="Psychiatry"/>
        <filter val="Rare Disease"/>
        <filter val="Rare disease/ Ophthalmology"/>
        <filter val="Rare disease/ Rheumatology"/>
        <filter val="Respiratory"/>
        <filter val="Rheumatology"/>
        <filter val="Surgical operation"/>
        <filter val="Urology"/>
        <filter val="Vaccines"/>
      </filters>
    </filterColumn>
  </autoFilter>
  <tableColumns count="13">
    <tableColumn id="1" xr3:uid="{1354703D-1F3A-4B56-B489-8711A002F175}" name="Therapy area" dataDxfId="36">
      <calculatedColumnFormula>'Local HTA submissions'!AD2</calculatedColumnFormula>
    </tableColumn>
    <tableColumn id="2" xr3:uid="{44DCF940-C7F3-441D-93C3-12B1A4066D42}" name="2012" dataDxfId="35">
      <calculatedColumnFormula>COUNTIFS('Local HTA submissions'!$E:$E,'By therapy area'!$A5,'Local HTA submissions'!$H:$H,'By therapy area'!B$73)</calculatedColumnFormula>
    </tableColumn>
    <tableColumn id="3" xr3:uid="{6318831F-B9B1-40C0-9B7F-E5F6085E36A8}" name="2013" dataDxfId="34">
      <calculatedColumnFormula>COUNTIFS('Local HTA submissions'!$E:$E,'By therapy area'!$A5,'Local HTA submissions'!$H:$H,'By therapy area'!C$73)</calculatedColumnFormula>
    </tableColumn>
    <tableColumn id="4" xr3:uid="{1BDA07B2-7E1F-4B68-875A-BFF6702B06C5}" name="2014" dataDxfId="33">
      <calculatedColumnFormula>COUNTIFS('Local HTA submissions'!$E:$E,'By therapy area'!$A5,'Local HTA submissions'!$H:$H,'By therapy area'!D$73)</calculatedColumnFormula>
    </tableColumn>
    <tableColumn id="5" xr3:uid="{8A22CAA1-E73C-4108-9B09-07583FBE5F42}" name="2015" dataDxfId="32">
      <calculatedColumnFormula>COUNTIFS('Local HTA submissions'!$E:$E,'By therapy area'!$A5,'Local HTA submissions'!$H:$H,'By therapy area'!E$73)</calculatedColumnFormula>
    </tableColumn>
    <tableColumn id="6" xr3:uid="{D98A9028-5B98-4AC4-8052-FAD7EADF8991}" name="2016" dataDxfId="31">
      <calculatedColumnFormula>COUNTIFS('Local HTA submissions'!$E:$E,'By therapy area'!$A5,'Local HTA submissions'!$H:$H,'By therapy area'!F$73)</calculatedColumnFormula>
    </tableColumn>
    <tableColumn id="7" xr3:uid="{B0720E2C-36AC-43B1-8D39-0F309A23A794}" name="2017" dataDxfId="30">
      <calculatedColumnFormula>COUNTIFS('Local HTA submissions'!$E:$E,'By therapy area'!$A5,'Local HTA submissions'!$H:$H,'By therapy area'!G$73)</calculatedColumnFormula>
    </tableColumn>
    <tableColumn id="8" xr3:uid="{4386426D-3259-4EA1-86A5-8E12133818DF}" name="2018" dataDxfId="29">
      <calculatedColumnFormula>COUNTIFS('Local HTA submissions'!$E:$E,'By therapy area'!$A5,'Local HTA submissions'!$H:$H,'By therapy area'!H$73)</calculatedColumnFormula>
    </tableColumn>
    <tableColumn id="9" xr3:uid="{6AF1F1BD-142A-4E98-884F-725AB0A46112}" name="2019" dataDxfId="28">
      <calculatedColumnFormula>COUNTIFS('Local HTA submissions'!$E:$E,'By therapy area'!$A5,'Local HTA submissions'!$H:$H,'By therapy area'!I$73)</calculatedColumnFormula>
    </tableColumn>
    <tableColumn id="10" xr3:uid="{D6FFB653-B8FC-4C59-BF82-16AA23C0B19F}" name="2020" dataDxfId="27">
      <calculatedColumnFormula>COUNTIFS('Local HTA submissions'!$E:$E,'By therapy area'!$A5,'Local HTA submissions'!$H:$H,'By therapy area'!J$73)</calculatedColumnFormula>
    </tableColumn>
    <tableColumn id="11" xr3:uid="{1E6ECCA1-6C9E-4CA8-8AC9-81912FEB87DE}" name="2021" dataDxfId="26">
      <calculatedColumnFormula>COUNTIFS('Local HTA submissions'!$E:$E,'By therapy area'!$A5,'Local HTA submissions'!$H:$H,'By therapy area'!K$73)</calculatedColumnFormula>
    </tableColumn>
    <tableColumn id="12" xr3:uid="{7682675C-9BC5-4919-9082-C7344D6590D1}" name="Total" dataDxfId="25">
      <calculatedColumnFormula>SUM(B74:K74)</calculatedColumnFormula>
    </tableColumn>
    <tableColumn id="13" xr3:uid="{405FE092-B1E6-43BA-9FAF-F18382DD0618}" name="Percentage" dataDxfId="24" dataCellStyle="Percent">
      <calculatedColumnFormula>L74/$L$107</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346388-5E85-4703-AB4E-BCD4F4DF73EB}" name="Table3" displayName="Table3" ref="A4:R38" totalsRowShown="0" headerRowDxfId="23" tableBorderDxfId="22">
  <autoFilter ref="A4:R38" xr:uid="{6C64B860-E54D-426F-A597-C19B067A1B20}">
    <filterColumn colId="0">
      <filters>
        <filter val="Blood and immune system"/>
        <filter val="Cardiology"/>
        <filter val="Cardiovascular diseases"/>
        <filter val="Central nervous system"/>
        <filter val="Dermatology"/>
        <filter val="Dermatology/ Rheumatology"/>
        <filter val="Digestive system"/>
        <filter val="Gastroenterology"/>
        <filter val="Gynacology"/>
        <filter val="Haemato-oncology"/>
        <filter val="Hematology"/>
        <filter val="Infectious diseases"/>
        <filter val="Medical device"/>
        <filter val="Mental and behavioural disorders"/>
        <filter val="Metabolic/Endocrine Disorders"/>
        <filter val="Muscoloskeletal"/>
        <filter val="Neurology"/>
        <filter val="Oncology"/>
        <filter val="Ophthalmology"/>
        <filter val="Other/None"/>
        <filter val="Psychiatry"/>
        <filter val="Rare Disease"/>
        <filter val="Rare disease/ Ophthalmology"/>
        <filter val="Rare disease/ Rheumatology"/>
        <filter val="Respiratory"/>
        <filter val="Rheumatology"/>
        <filter val="Surgical operation"/>
        <filter val="Total"/>
        <filter val="Urology"/>
        <filter val="Vaccines"/>
      </filters>
    </filterColumn>
  </autoFilter>
  <tableColumns count="18">
    <tableColumn id="1" xr3:uid="{E7D0C0B1-EA4E-45A5-A37C-AD8FD71C1C0A}" name="Therapy area" dataDxfId="21"/>
    <tableColumn id="2" xr3:uid="{0E7AEE2B-D36A-4312-9525-5D8DA54D4D2D}" name="NICE" dataDxfId="20"/>
    <tableColumn id="3" xr3:uid="{3D160A57-41D5-4C76-AF99-404A83088C59}" name="SMC" dataDxfId="19"/>
    <tableColumn id="4" xr3:uid="{028CD986-C333-47B4-AF62-DB20A264D7DE}" name="AWMSG" dataDxfId="18"/>
    <tableColumn id="5" xr3:uid="{8CAC72A0-2271-434B-80DD-DB4728AE4F8D}" name="NCPE" dataDxfId="17"/>
    <tableColumn id="6" xr3:uid="{84C30093-5A1B-440D-9904-ADC4A48B4480}" name="G-BA" dataDxfId="16"/>
    <tableColumn id="7" xr3:uid="{A6673769-E695-435E-A0FC-318E2A41459D}" name="N/A" dataDxfId="15"/>
    <tableColumn id="8" xr3:uid="{F8C88125-A614-4C49-9F31-A1CA94DB5274}" name="AIFA" dataDxfId="14"/>
    <tableColumn id="9" xr3:uid="{44B11F7A-F810-4483-BB63-FE81BF7BFE7A}" name="CEESP" dataDxfId="13"/>
    <tableColumn id="10" xr3:uid="{62FC8459-BC89-42E1-8175-7A0B05E46C5E}" name="CT" dataDxfId="12"/>
    <tableColumn id="11" xr3:uid="{E3D0A1F5-A082-4371-B1CC-0D43564A2A0E}" name="INFARMED" dataDxfId="11"/>
    <tableColumn id="12" xr3:uid="{ED38B2EA-9905-42C3-BFBE-3C730F2FBC87}" name="Greek HTA Committee" dataDxfId="10"/>
    <tableColumn id="13" xr3:uid="{7431FC01-DF69-467A-A816-19834D145929}" name="Zorginstituut Nederland" dataDxfId="9"/>
    <tableColumn id="14" xr3:uid="{25E2DE21-50C7-4721-838E-D24B97AB3006}" name="Zorgverzekeraars Nederland" dataDxfId="8"/>
    <tableColumn id="15" xr3:uid="{4AF44BE2-C7EA-4A10-AE95-5F23BF117B68}" name="SUKL" dataDxfId="7"/>
    <tableColumn id="16" xr3:uid="{B9D2ADAA-182B-47C4-BD49-BCC4AFBB19B8}" name="ŠUKL" dataDxfId="6"/>
    <tableColumn id="17" xr3:uid="{27A51021-5778-4550-94B3-AA6A42E923B6}" name="Total" dataDxfId="5"/>
    <tableColumn id="18" xr3:uid="{53EC93DC-AD9F-477F-9C6B-D426F0FE97A2}" name="Percentage" dataDxfId="4" dataCellStyle="Percent">
      <calculatedColumnFormula>Q5/$Q$38</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IQVIA Wave2">
    <a:dk1>
      <a:srgbClr val="2B3A42"/>
    </a:dk1>
    <a:lt1>
      <a:srgbClr val="FFFFFF"/>
    </a:lt1>
    <a:dk2>
      <a:srgbClr val="2B3A42"/>
    </a:dk2>
    <a:lt2>
      <a:srgbClr val="F0B323"/>
    </a:lt2>
    <a:accent1>
      <a:srgbClr val="00A3E0"/>
    </a:accent1>
    <a:accent2>
      <a:srgbClr val="005587"/>
    </a:accent2>
    <a:accent3>
      <a:srgbClr val="FE8A12"/>
    </a:accent3>
    <a:accent4>
      <a:srgbClr val="43B02A"/>
    </a:accent4>
    <a:accent5>
      <a:srgbClr val="027223"/>
    </a:accent5>
    <a:accent6>
      <a:srgbClr val="00BFB3"/>
    </a:accent6>
    <a:hlink>
      <a:srgbClr val="00A3E0"/>
    </a:hlink>
    <a:folHlink>
      <a:srgbClr val="005587"/>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IQVIA Wave2">
    <a:dk1>
      <a:srgbClr val="2B3A42"/>
    </a:dk1>
    <a:lt1>
      <a:srgbClr val="FFFFFF"/>
    </a:lt1>
    <a:dk2>
      <a:srgbClr val="2B3A42"/>
    </a:dk2>
    <a:lt2>
      <a:srgbClr val="F0B323"/>
    </a:lt2>
    <a:accent1>
      <a:srgbClr val="00A3E0"/>
    </a:accent1>
    <a:accent2>
      <a:srgbClr val="005587"/>
    </a:accent2>
    <a:accent3>
      <a:srgbClr val="FE8A12"/>
    </a:accent3>
    <a:accent4>
      <a:srgbClr val="43B02A"/>
    </a:accent4>
    <a:accent5>
      <a:srgbClr val="027223"/>
    </a:accent5>
    <a:accent6>
      <a:srgbClr val="00BFB3"/>
    </a:accent6>
    <a:hlink>
      <a:srgbClr val="00A3E0"/>
    </a:hlink>
    <a:folHlink>
      <a:srgbClr val="005587"/>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4.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vmlDrawing" Target="../drawings/vmlDrawing4.vml"/><Relationship Id="rId7" Type="http://schemas.openxmlformats.org/officeDocument/2006/relationships/table" Target="../tables/table11.x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B48F6-F4E3-43C9-B44E-D2AB273352E4}">
  <dimension ref="A1:AJ551"/>
  <sheetViews>
    <sheetView zoomScale="80" zoomScaleNormal="80" workbookViewId="0">
      <pane xSplit="1" ySplit="1" topLeftCell="E2" activePane="bottomRight" state="frozen"/>
      <selection activeCell="B476" sqref="B1:B1048576"/>
      <selection pane="topRight" activeCell="B476" sqref="B1:B1048576"/>
      <selection pane="bottomLeft" activeCell="B476" sqref="B1:B1048576"/>
      <selection pane="bottomRight" activeCell="K1" sqref="K1"/>
    </sheetView>
  </sheetViews>
  <sheetFormatPr defaultColWidth="3" defaultRowHeight="14.4"/>
  <cols>
    <col min="1" max="1" width="10.44140625" style="4" customWidth="1"/>
    <col min="2" max="2" width="17.21875" style="1" bestFit="1" customWidth="1"/>
    <col min="3" max="3" width="29.21875" style="1" bestFit="1" customWidth="1"/>
    <col min="4" max="4" width="24.21875" style="3" customWidth="1"/>
    <col min="5" max="5" width="32.21875" style="3" customWidth="1"/>
    <col min="6" max="6" width="58.77734375" style="3" customWidth="1"/>
    <col min="7" max="7" width="10.5546875" style="1" bestFit="1" customWidth="1"/>
    <col min="8" max="8" width="10.77734375" style="1" customWidth="1"/>
    <col min="9" max="9" width="35.77734375" style="3" customWidth="1"/>
    <col min="10" max="10" width="35.77734375" style="1" customWidth="1"/>
    <col min="11" max="11" width="35.77734375" style="86" customWidth="1"/>
    <col min="12" max="12" width="5" style="2" customWidth="1"/>
    <col min="13" max="13" width="4.21875" style="2" customWidth="1"/>
    <col min="14" max="26" width="3" style="2"/>
    <col min="27" max="27" width="15.77734375" style="2" hidden="1" customWidth="1"/>
    <col min="28" max="28" width="29.21875" style="2" hidden="1" customWidth="1"/>
    <col min="29" max="29" width="36.21875" style="2" hidden="1" customWidth="1"/>
    <col min="30" max="30" width="35.5546875" style="2" hidden="1" customWidth="1"/>
    <col min="31" max="31" width="40.77734375" style="2" hidden="1" customWidth="1"/>
    <col min="32" max="32" width="5.5546875" style="2" hidden="1" customWidth="1"/>
    <col min="33" max="33" width="9.5546875" style="2" hidden="1" customWidth="1"/>
    <col min="34" max="34" width="75" style="2" hidden="1" customWidth="1"/>
    <col min="35" max="35" width="39.77734375" style="2" hidden="1" customWidth="1"/>
    <col min="36" max="36" width="63.77734375" style="2" hidden="1" customWidth="1"/>
    <col min="37" max="16384" width="3" style="2"/>
  </cols>
  <sheetData>
    <row r="1" spans="1:36" s="1" customFormat="1" ht="15" thickBot="1">
      <c r="A1" s="65" t="s">
        <v>694</v>
      </c>
      <c r="B1" s="66" t="s">
        <v>0</v>
      </c>
      <c r="C1" s="66" t="s">
        <v>1</v>
      </c>
      <c r="D1" s="66" t="s">
        <v>2</v>
      </c>
      <c r="E1" s="66" t="s">
        <v>3</v>
      </c>
      <c r="F1" s="66" t="s">
        <v>4</v>
      </c>
      <c r="G1" s="66" t="s">
        <v>5</v>
      </c>
      <c r="H1" s="66" t="s">
        <v>6</v>
      </c>
      <c r="I1" s="66" t="s">
        <v>7</v>
      </c>
      <c r="J1" s="66" t="s">
        <v>8</v>
      </c>
      <c r="K1" s="83" t="s">
        <v>9</v>
      </c>
      <c r="AA1" s="1" t="str" cm="1">
        <f t="array" ref="AA1:AA15">_xlfn.UNIQUE(B:B)</f>
        <v>EMEA team</v>
      </c>
      <c r="AB1" s="1" t="str" cm="1">
        <f t="array" ref="AB1:AB17">_xlfn.UNIQUE(C:C)</f>
        <v>HTA body</v>
      </c>
      <c r="AC1" s="1" t="str" cm="1">
        <f t="array" ref="AC1:AC7">_xlfn.UNIQUE(D:D)</f>
        <v>Subcategory</v>
      </c>
      <c r="AD1" s="1" t="str" cm="1">
        <f t="array" ref="AD1:AD31">_xlfn.UNIQUE(E:E)</f>
        <v>Therapy area</v>
      </c>
      <c r="AE1" s="1" t="str" cm="1">
        <f t="array" ref="AE1:AE222">_xlfn.UNIQUE(F:F)</f>
        <v>Indication</v>
      </c>
      <c r="AF1" s="1" t="str" cm="1">
        <f t="array" ref="AF1:AF12">_xlfn.UNIQUE(G:G)</f>
        <v>Year</v>
      </c>
      <c r="AG1" s="1" t="str" cm="1">
        <f t="array" ref="AG1:AG13">_xlfn.UNIQUE(H:H)</f>
        <v>End Year</v>
      </c>
      <c r="AH1" s="1" t="str" cm="1">
        <f t="array" ref="AH1:AH114">_xlfn.UNIQUE(I:I)</f>
        <v>Scope of IQVIA support</v>
      </c>
      <c r="AI1" s="1" t="str" cm="1">
        <f t="array" ref="AI1:AI38">_xlfn.UNIQUE(J:J)</f>
        <v>Outcome</v>
      </c>
      <c r="AJ1" s="1" t="str" cm="1">
        <f t="array" ref="AJ1:AJ197">_xlfn.UNIQUE(K:K)</f>
        <v>Product/indication</v>
      </c>
    </row>
    <row r="2" spans="1:36" ht="15" thickBot="1">
      <c r="A2" s="63">
        <v>1</v>
      </c>
      <c r="B2" s="59" t="s">
        <v>10</v>
      </c>
      <c r="C2" s="59" t="s">
        <v>11</v>
      </c>
      <c r="D2" s="60" t="s">
        <v>12</v>
      </c>
      <c r="E2" s="60" t="s">
        <v>13</v>
      </c>
      <c r="F2" s="60" t="s">
        <v>14</v>
      </c>
      <c r="G2" s="59">
        <v>2021</v>
      </c>
      <c r="H2" s="59">
        <f>G2</f>
        <v>2021</v>
      </c>
      <c r="I2" s="60" t="s">
        <v>15</v>
      </c>
      <c r="J2" s="59" t="s">
        <v>16</v>
      </c>
      <c r="K2" s="84" t="s">
        <v>17</v>
      </c>
      <c r="L2" s="2" t="s">
        <v>18</v>
      </c>
      <c r="AA2" s="2" t="str">
        <v>England</v>
      </c>
      <c r="AB2" s="2" t="str">
        <v>NICE</v>
      </c>
      <c r="AC2" s="2" t="str">
        <v>NICE Technology appraisals</v>
      </c>
      <c r="AD2" s="2" t="str">
        <v>Oncology</v>
      </c>
      <c r="AE2" s="2" t="str">
        <v>Non metastatic castration refractory prostate cancer (potential resubmission)</v>
      </c>
      <c r="AF2" s="2">
        <v>2021</v>
      </c>
      <c r="AG2" s="2">
        <v>2021</v>
      </c>
      <c r="AH2" s="2" t="str">
        <v>CEM adaptation, BIM, STA write-up, post-submission support</v>
      </c>
      <c r="AI2" s="2" t="str">
        <v>Ongoing</v>
      </c>
      <c r="AJ2" s="2" t="str">
        <v>Enzalutamide</v>
      </c>
    </row>
    <row r="3" spans="1:36" ht="15" thickBot="1">
      <c r="A3" s="64">
        <v>2</v>
      </c>
      <c r="B3" s="61" t="s">
        <v>10</v>
      </c>
      <c r="C3" s="61" t="s">
        <v>11</v>
      </c>
      <c r="D3" s="58" t="s">
        <v>12</v>
      </c>
      <c r="E3" s="58" t="s">
        <v>13</v>
      </c>
      <c r="F3" s="58" t="s">
        <v>19</v>
      </c>
      <c r="G3" s="61">
        <v>2019</v>
      </c>
      <c r="H3" s="61">
        <v>2021</v>
      </c>
      <c r="I3" s="58" t="s">
        <v>20</v>
      </c>
      <c r="J3" s="61" t="s">
        <v>43</v>
      </c>
      <c r="K3" s="85" t="s">
        <v>17</v>
      </c>
      <c r="L3" s="2" t="s">
        <v>18</v>
      </c>
      <c r="AA3" s="2" t="str">
        <v>Scotland</v>
      </c>
      <c r="AB3" s="2" t="str">
        <v>SMC</v>
      </c>
      <c r="AC3" s="2" t="str">
        <v xml:space="preserve">NHSE - Specialised commissioning </v>
      </c>
      <c r="AD3" s="2" t="str">
        <v>Blood and immune system</v>
      </c>
      <c r="AE3" s="2" t="str">
        <v xml:space="preserve">Metastatic hormone-sensitive prostate cancer </v>
      </c>
      <c r="AF3" s="2">
        <v>2019</v>
      </c>
      <c r="AG3" s="2">
        <v>2020</v>
      </c>
      <c r="AH3" s="2" t="str">
        <v>CEM validation, BIM, STA write up, strategy validation with KOLs, post submission support, SLR + updates, NMA</v>
      </c>
      <c r="AI3" s="2" t="str">
        <v>Recommended</v>
      </c>
      <c r="AJ3" s="2" t="str">
        <v>Roxadustat</v>
      </c>
    </row>
    <row r="4" spans="1:36" ht="15" thickBot="1">
      <c r="A4" s="63">
        <v>3</v>
      </c>
      <c r="B4" s="59" t="s">
        <v>10</v>
      </c>
      <c r="C4" s="59" t="s">
        <v>11</v>
      </c>
      <c r="D4" s="60" t="s">
        <v>12</v>
      </c>
      <c r="E4" s="60" t="s">
        <v>21</v>
      </c>
      <c r="F4" s="60" t="s">
        <v>22</v>
      </c>
      <c r="G4" s="59">
        <v>2021</v>
      </c>
      <c r="H4" s="59">
        <f t="shared" ref="H4:H67" si="0">G4</f>
        <v>2021</v>
      </c>
      <c r="I4" s="60" t="s">
        <v>15</v>
      </c>
      <c r="J4" s="59" t="s">
        <v>16</v>
      </c>
      <c r="K4" s="84" t="s">
        <v>23</v>
      </c>
      <c r="L4" s="2" t="s">
        <v>18</v>
      </c>
      <c r="AA4" s="2" t="str">
        <v>Wales</v>
      </c>
      <c r="AB4" s="2" t="str">
        <v>AWMSG</v>
      </c>
      <c r="AC4" s="2" t="str">
        <v>N/A</v>
      </c>
      <c r="AD4" s="2" t="str">
        <v>Gastroenterology</v>
      </c>
      <c r="AE4" s="2" t="str">
        <v>Anaemia in CKD</v>
      </c>
      <c r="AF4" s="2">
        <v>2020</v>
      </c>
      <c r="AG4" s="2">
        <v>2019</v>
      </c>
      <c r="AH4" s="2" t="str">
        <v>Early scientific advice, CEM, BIM, SLR, ITC, STA write-up, post-submission support</v>
      </c>
      <c r="AI4" s="2" t="str">
        <v>Postponed</v>
      </c>
      <c r="AJ4" s="2" t="str">
        <v>Filgotinib</v>
      </c>
    </row>
    <row r="5" spans="1:36" ht="15" thickBot="1">
      <c r="A5" s="64">
        <v>4</v>
      </c>
      <c r="B5" s="61" t="s">
        <v>10</v>
      </c>
      <c r="C5" s="61" t="s">
        <v>11</v>
      </c>
      <c r="D5" s="58" t="s">
        <v>12</v>
      </c>
      <c r="E5" s="58" t="s">
        <v>24</v>
      </c>
      <c r="F5" s="58" t="s">
        <v>25</v>
      </c>
      <c r="G5" s="61">
        <v>2021</v>
      </c>
      <c r="H5" s="61">
        <f t="shared" si="0"/>
        <v>2021</v>
      </c>
      <c r="I5" s="58" t="s">
        <v>15</v>
      </c>
      <c r="J5" s="61" t="s">
        <v>16</v>
      </c>
      <c r="K5" s="85" t="s">
        <v>26</v>
      </c>
      <c r="L5" s="2" t="s">
        <v>18</v>
      </c>
      <c r="AA5" s="2" t="str">
        <v>Ireland</v>
      </c>
      <c r="AB5" s="2" t="str">
        <v>NCPE</v>
      </c>
      <c r="AC5" s="2" t="str">
        <v>Other</v>
      </c>
      <c r="AD5" s="2" t="str">
        <v>Cardiovascular diseases</v>
      </c>
      <c r="AE5" s="2" t="str">
        <v>Moderate-to-severe ulcerative colitis</v>
      </c>
      <c r="AF5" s="2">
        <v>2018</v>
      </c>
      <c r="AG5" s="2">
        <v>2018</v>
      </c>
      <c r="AH5" s="2" t="str">
        <v>STA write-up, post-submission support</v>
      </c>
      <c r="AI5" s="2" t="str">
        <v>Withdrawn</v>
      </c>
      <c r="AJ5" s="2" t="str">
        <v>Cabozantinib for HCC</v>
      </c>
    </row>
    <row r="6" spans="1:36" ht="15" thickBot="1">
      <c r="A6" s="63">
        <v>5</v>
      </c>
      <c r="B6" s="59" t="s">
        <v>10</v>
      </c>
      <c r="C6" s="59" t="s">
        <v>11</v>
      </c>
      <c r="D6" s="60" t="s">
        <v>12</v>
      </c>
      <c r="E6" s="60" t="s">
        <v>13</v>
      </c>
      <c r="F6" s="60" t="s">
        <v>27</v>
      </c>
      <c r="G6" s="59">
        <v>2021</v>
      </c>
      <c r="H6" s="59">
        <f t="shared" si="0"/>
        <v>2021</v>
      </c>
      <c r="I6" s="60" t="s">
        <v>28</v>
      </c>
      <c r="J6" s="59" t="s">
        <v>16</v>
      </c>
      <c r="K6" s="84" t="s">
        <v>29</v>
      </c>
      <c r="L6" s="2" t="s">
        <v>18</v>
      </c>
      <c r="AA6" s="2" t="str">
        <v>Germany</v>
      </c>
      <c r="AB6" s="2" t="str">
        <v>G-BA</v>
      </c>
      <c r="AC6" s="2" t="str">
        <v>AIFA Technology appraisals</v>
      </c>
      <c r="AD6" s="2" t="str">
        <v>Respiratory</v>
      </c>
      <c r="AE6" s="2" t="str">
        <v>Oncology - solid tumour</v>
      </c>
      <c r="AF6" s="2">
        <v>2017</v>
      </c>
      <c r="AG6" s="2">
        <v>2017</v>
      </c>
      <c r="AH6" s="2" t="str">
        <v>CEM adaptation, STA write-up</v>
      </c>
      <c r="AI6" s="2" t="str">
        <v>Not recommended</v>
      </c>
      <c r="AJ6" s="2" t="str">
        <v>Libtayo® for NSCLC</v>
      </c>
    </row>
    <row r="7" spans="1:36" ht="15" thickBot="1">
      <c r="A7" s="64">
        <v>6</v>
      </c>
      <c r="B7" s="61" t="s">
        <v>10</v>
      </c>
      <c r="C7" s="61" t="s">
        <v>11</v>
      </c>
      <c r="D7" s="58" t="s">
        <v>12</v>
      </c>
      <c r="E7" s="58" t="s">
        <v>13</v>
      </c>
      <c r="F7" s="58" t="s">
        <v>27</v>
      </c>
      <c r="G7" s="61">
        <v>2021</v>
      </c>
      <c r="H7" s="61">
        <f t="shared" si="0"/>
        <v>2021</v>
      </c>
      <c r="I7" s="58" t="s">
        <v>30</v>
      </c>
      <c r="J7" s="61" t="s">
        <v>16</v>
      </c>
      <c r="K7" s="85" t="s">
        <v>31</v>
      </c>
      <c r="L7" s="2" t="s">
        <v>18</v>
      </c>
      <c r="AA7" s="2" t="str">
        <v>Spain</v>
      </c>
      <c r="AB7" s="2" t="str">
        <v>N/A</v>
      </c>
      <c r="AC7" s="2">
        <v>0</v>
      </c>
      <c r="AD7" s="2" t="str">
        <v>Muscoloskeletal</v>
      </c>
      <c r="AE7" s="2" t="str">
        <v>Heart failure</v>
      </c>
      <c r="AF7" s="2">
        <v>2016</v>
      </c>
      <c r="AG7" s="2">
        <v>2016</v>
      </c>
      <c r="AH7" s="2" t="str">
        <v>CEM adaptation, BIM adaptation, Section B3 development, SLR update</v>
      </c>
      <c r="AI7" s="2" t="str">
        <v>Pending</v>
      </c>
      <c r="AJ7" s="2" t="str">
        <v>Jardiance® for HFrEF</v>
      </c>
    </row>
    <row r="8" spans="1:36" ht="15" thickBot="1">
      <c r="A8" s="63">
        <v>7</v>
      </c>
      <c r="B8" s="59" t="s">
        <v>10</v>
      </c>
      <c r="C8" s="59" t="s">
        <v>11</v>
      </c>
      <c r="D8" s="60" t="s">
        <v>12</v>
      </c>
      <c r="E8" s="60" t="s">
        <v>32</v>
      </c>
      <c r="F8" s="60" t="s">
        <v>33</v>
      </c>
      <c r="G8" s="59">
        <v>2021</v>
      </c>
      <c r="H8" s="59">
        <f t="shared" si="0"/>
        <v>2021</v>
      </c>
      <c r="I8" s="60" t="s">
        <v>34</v>
      </c>
      <c r="J8" s="59" t="s">
        <v>16</v>
      </c>
      <c r="K8" s="84" t="s">
        <v>35</v>
      </c>
      <c r="L8" s="2" t="s">
        <v>18</v>
      </c>
      <c r="AA8" s="2" t="str">
        <v>Italy</v>
      </c>
      <c r="AB8" s="2" t="str">
        <v>AIFA</v>
      </c>
      <c r="AD8" s="2" t="str">
        <v>Other/None</v>
      </c>
      <c r="AE8" s="2" t="str">
        <v>Cystic fibrosis</v>
      </c>
      <c r="AF8" s="2">
        <v>2015</v>
      </c>
      <c r="AG8" s="2">
        <v>2015</v>
      </c>
      <c r="AH8" s="2" t="str">
        <v xml:space="preserve"> CEM, BIM, STA write up</v>
      </c>
      <c r="AI8" s="2" t="str">
        <v>Full assessment requested</v>
      </c>
      <c r="AJ8" s="2" t="str">
        <v>ELX/TEZ/IVA</v>
      </c>
    </row>
    <row r="9" spans="1:36" ht="15" thickBot="1">
      <c r="A9" s="64">
        <v>8</v>
      </c>
      <c r="B9" s="61" t="s">
        <v>10</v>
      </c>
      <c r="C9" s="61" t="s">
        <v>11</v>
      </c>
      <c r="D9" s="58" t="s">
        <v>12</v>
      </c>
      <c r="E9" s="58" t="s">
        <v>36</v>
      </c>
      <c r="F9" s="58" t="s">
        <v>37</v>
      </c>
      <c r="G9" s="61">
        <v>2020</v>
      </c>
      <c r="H9" s="61">
        <f t="shared" si="0"/>
        <v>2020</v>
      </c>
      <c r="I9" s="58" t="s">
        <v>38</v>
      </c>
      <c r="J9" s="61" t="s">
        <v>39</v>
      </c>
      <c r="K9" s="85" t="s">
        <v>40</v>
      </c>
      <c r="L9" s="2" t="s">
        <v>18</v>
      </c>
      <c r="AA9" s="2" t="str">
        <v>France</v>
      </c>
      <c r="AB9" s="2" t="str">
        <v>CEESP</v>
      </c>
      <c r="AD9" s="2" t="str">
        <v>Metabolic/Endocrine Disorders</v>
      </c>
      <c r="AE9" s="2" t="str">
        <v>Moderate-to-severe rheumatoid arthritis</v>
      </c>
      <c r="AF9" s="2">
        <v>2014</v>
      </c>
      <c r="AG9" s="2">
        <v>2014</v>
      </c>
      <c r="AH9" s="2" t="str">
        <v>CEM, BIM, STA write up</v>
      </c>
      <c r="AI9" s="2" t="str">
        <v>Recommended (x2)</v>
      </c>
      <c r="AJ9" s="2">
        <v>0</v>
      </c>
    </row>
    <row r="10" spans="1:36" ht="15" thickBot="1">
      <c r="A10" s="63">
        <v>9</v>
      </c>
      <c r="B10" s="59" t="s">
        <v>10</v>
      </c>
      <c r="C10" s="59" t="s">
        <v>11</v>
      </c>
      <c r="D10" s="60" t="s">
        <v>12</v>
      </c>
      <c r="E10" s="60" t="s">
        <v>41</v>
      </c>
      <c r="F10" s="60" t="s">
        <v>42</v>
      </c>
      <c r="G10" s="59">
        <v>2020</v>
      </c>
      <c r="H10" s="59">
        <f t="shared" si="0"/>
        <v>2020</v>
      </c>
      <c r="I10" s="60" t="s">
        <v>15</v>
      </c>
      <c r="J10" s="59" t="s">
        <v>43</v>
      </c>
      <c r="K10" s="84" t="s">
        <v>26</v>
      </c>
      <c r="L10" s="2" t="s">
        <v>18</v>
      </c>
      <c r="AA10" s="2" t="str">
        <v>Portugal</v>
      </c>
      <c r="AB10" s="2" t="str">
        <v>CT</v>
      </c>
      <c r="AD10" s="2" t="str">
        <v>Dermatology</v>
      </c>
      <c r="AE10" s="2" t="str">
        <v>Genetic disease</v>
      </c>
      <c r="AF10" s="2">
        <v>2013</v>
      </c>
      <c r="AG10" s="2">
        <v>2013</v>
      </c>
      <c r="AH10" s="2" t="str">
        <v>CEM validation, BIM, STA write up, post submission support</v>
      </c>
      <c r="AI10" s="2" t="str">
        <v>Delayed</v>
      </c>
      <c r="AJ10" s="2" t="str">
        <v>Upadacitinib (recommended for severe RA)</v>
      </c>
    </row>
    <row r="11" spans="1:36" ht="15" thickBot="1">
      <c r="A11" s="64">
        <v>10</v>
      </c>
      <c r="B11" s="61" t="s">
        <v>10</v>
      </c>
      <c r="C11" s="61" t="s">
        <v>11</v>
      </c>
      <c r="D11" s="58" t="s">
        <v>12</v>
      </c>
      <c r="E11" s="58" t="s">
        <v>44</v>
      </c>
      <c r="F11" s="58" t="s">
        <v>45</v>
      </c>
      <c r="G11" s="61">
        <v>2020</v>
      </c>
      <c r="H11" s="61">
        <f t="shared" si="0"/>
        <v>2020</v>
      </c>
      <c r="I11" s="58" t="s">
        <v>46</v>
      </c>
      <c r="J11" s="61" t="s">
        <v>16</v>
      </c>
      <c r="K11" s="85"/>
      <c r="L11" s="2" t="s">
        <v>18</v>
      </c>
      <c r="AA11" s="2" t="str">
        <v>Greece</v>
      </c>
      <c r="AB11" s="2" t="str">
        <v>INFARMED</v>
      </c>
      <c r="AD11" s="2" t="str">
        <v>Infectious diseases</v>
      </c>
      <c r="AE11" s="2" t="str">
        <v>Oncology - haemato-oncology</v>
      </c>
      <c r="AF11" s="2">
        <v>2012</v>
      </c>
      <c r="AG11" s="2">
        <v>2012</v>
      </c>
      <c r="AH11" s="2" t="str">
        <v>CEM, BIM, STA write-up</v>
      </c>
      <c r="AI11" s="2" t="str">
        <v>Procedure completed - resubmitted</v>
      </c>
      <c r="AJ11" s="2" t="str">
        <v>Larotrectinib (VItrakvi®)for NTRK fusion</v>
      </c>
    </row>
    <row r="12" spans="1:36" ht="15" thickBot="1">
      <c r="A12" s="63">
        <v>11</v>
      </c>
      <c r="B12" s="59" t="s">
        <v>10</v>
      </c>
      <c r="C12" s="59" t="s">
        <v>11</v>
      </c>
      <c r="D12" s="60" t="s">
        <v>12</v>
      </c>
      <c r="E12" s="60" t="s">
        <v>13</v>
      </c>
      <c r="F12" s="60" t="s">
        <v>47</v>
      </c>
      <c r="G12" s="59">
        <v>2020</v>
      </c>
      <c r="H12" s="59">
        <f t="shared" si="0"/>
        <v>2020</v>
      </c>
      <c r="I12" s="60" t="s">
        <v>48</v>
      </c>
      <c r="J12" s="59" t="s">
        <v>16</v>
      </c>
      <c r="K12" s="84"/>
      <c r="L12" s="2" t="s">
        <v>18</v>
      </c>
      <c r="AA12" s="2" t="str">
        <v>Netherlands</v>
      </c>
      <c r="AB12" s="2" t="str">
        <v>Greek HTA Committee</v>
      </c>
      <c r="AD12" s="2" t="str">
        <v>Ophthalmology</v>
      </c>
      <c r="AE12" s="2" t="str">
        <v>Cardiovascular disease</v>
      </c>
      <c r="AF12" s="2">
        <v>0</v>
      </c>
      <c r="AG12" s="2">
        <v>0</v>
      </c>
      <c r="AH12" s="2" t="str">
        <v>CEM adaptation, STA write-up, post-submission support</v>
      </c>
      <c r="AI12" s="2" t="str">
        <v>Procedure completed - significant additional benefit</v>
      </c>
      <c r="AJ12" s="2" t="str">
        <v>Liraglutide for obesity</v>
      </c>
    </row>
    <row r="13" spans="1:36" ht="15" thickBot="1">
      <c r="A13" s="64">
        <v>12</v>
      </c>
      <c r="B13" s="61" t="s">
        <v>10</v>
      </c>
      <c r="C13" s="61" t="s">
        <v>11</v>
      </c>
      <c r="D13" s="58" t="s">
        <v>12</v>
      </c>
      <c r="E13" s="58" t="s">
        <v>32</v>
      </c>
      <c r="F13" s="58" t="s">
        <v>49</v>
      </c>
      <c r="G13" s="61">
        <v>2020</v>
      </c>
      <c r="H13" s="61">
        <f t="shared" si="0"/>
        <v>2020</v>
      </c>
      <c r="I13" s="58" t="s">
        <v>50</v>
      </c>
      <c r="J13" s="61" t="s">
        <v>16</v>
      </c>
      <c r="K13" s="85"/>
      <c r="L13" s="2" t="s">
        <v>18</v>
      </c>
      <c r="AA13" s="2" t="str">
        <v>Czech Republic</v>
      </c>
      <c r="AB13" s="2" t="str">
        <v>Zorginstituut Nederland</v>
      </c>
      <c r="AD13" s="2" t="str">
        <v>Gynacology</v>
      </c>
      <c r="AE13" s="2" t="str">
        <v>Oncology – haemato-oncology</v>
      </c>
      <c r="AG13" s="2" t="str">
        <v>Ongoing</v>
      </c>
      <c r="AH13" s="2" t="str">
        <v xml:space="preserve"> CEM, BIM, STA write-up</v>
      </c>
      <c r="AI13" s="2" t="str">
        <v>Procedure completed - indication of a low additional benefit</v>
      </c>
      <c r="AJ13" s="2" t="str">
        <v>Liposomal cytarabine–daunorubicin for untreated acute myeloid leukaemia</v>
      </c>
    </row>
    <row r="14" spans="1:36" ht="15" thickBot="1">
      <c r="A14" s="63">
        <v>13</v>
      </c>
      <c r="B14" s="59" t="s">
        <v>10</v>
      </c>
      <c r="C14" s="59" t="s">
        <v>11</v>
      </c>
      <c r="D14" s="60" t="s">
        <v>12</v>
      </c>
      <c r="E14" s="60" t="s">
        <v>13</v>
      </c>
      <c r="F14" s="60" t="s">
        <v>47</v>
      </c>
      <c r="G14" s="59">
        <v>2019</v>
      </c>
      <c r="H14" s="59">
        <f t="shared" si="0"/>
        <v>2019</v>
      </c>
      <c r="I14" s="60" t="s">
        <v>51</v>
      </c>
      <c r="J14" s="59" t="s">
        <v>52</v>
      </c>
      <c r="K14" s="84"/>
      <c r="L14" s="2" t="s">
        <v>18</v>
      </c>
      <c r="AA14" s="2" t="str">
        <v>Slovakia</v>
      </c>
      <c r="AB14" s="2" t="str">
        <v>Zorgverzekeraars Nederland</v>
      </c>
      <c r="AD14" s="2" t="str">
        <v>Digestive system</v>
      </c>
      <c r="AE14" s="2" t="str">
        <v>Oncology – solid tumour</v>
      </c>
      <c r="AH14" s="2" t="str">
        <v>CEM, BIM, STA write-up, post-submission support</v>
      </c>
      <c r="AI14" s="2" t="str">
        <v>Not submitted</v>
      </c>
      <c r="AJ14" s="2" t="str">
        <v>Baricitinib (recommended for severe RA)</v>
      </c>
    </row>
    <row r="15" spans="1:36" ht="15" thickBot="1">
      <c r="A15" s="64">
        <v>14</v>
      </c>
      <c r="B15" s="61" t="s">
        <v>10</v>
      </c>
      <c r="C15" s="61" t="s">
        <v>11</v>
      </c>
      <c r="D15" s="58" t="s">
        <v>12</v>
      </c>
      <c r="E15" s="58" t="s">
        <v>41</v>
      </c>
      <c r="F15" s="58" t="s">
        <v>42</v>
      </c>
      <c r="G15" s="61">
        <v>2019</v>
      </c>
      <c r="H15" s="61">
        <f t="shared" si="0"/>
        <v>2019</v>
      </c>
      <c r="I15" s="58" t="s">
        <v>53</v>
      </c>
      <c r="J15" s="61" t="s">
        <v>43</v>
      </c>
      <c r="K15" s="85" t="s">
        <v>54</v>
      </c>
      <c r="L15" s="2" t="s">
        <v>18</v>
      </c>
      <c r="AA15" s="2">
        <v>0</v>
      </c>
      <c r="AB15" s="2" t="str">
        <v>SUKL</v>
      </c>
      <c r="AD15" s="2" t="str">
        <v>Central nervous system</v>
      </c>
      <c r="AE15" s="2" t="str">
        <v>Type 1 diabetes</v>
      </c>
      <c r="AH15" s="2" t="str">
        <v>CEM, BIM, post submission support</v>
      </c>
      <c r="AI15" s="2">
        <v>0</v>
      </c>
      <c r="AJ15" s="2" t="str">
        <v>Iluvien</v>
      </c>
    </row>
    <row r="16" spans="1:36" ht="15" thickBot="1">
      <c r="A16" s="63">
        <v>15</v>
      </c>
      <c r="B16" s="59" t="s">
        <v>10</v>
      </c>
      <c r="C16" s="59" t="s">
        <v>11</v>
      </c>
      <c r="D16" s="60" t="s">
        <v>12</v>
      </c>
      <c r="E16" s="60" t="s">
        <v>13</v>
      </c>
      <c r="F16" s="60" t="s">
        <v>55</v>
      </c>
      <c r="G16" s="59">
        <v>2019</v>
      </c>
      <c r="H16" s="59">
        <f t="shared" si="0"/>
        <v>2019</v>
      </c>
      <c r="I16" s="60" t="s">
        <v>56</v>
      </c>
      <c r="J16" s="59" t="s">
        <v>16</v>
      </c>
      <c r="K16" s="84"/>
      <c r="L16" s="2" t="s">
        <v>18</v>
      </c>
      <c r="AB16" s="2" t="str">
        <v>ŠUKL</v>
      </c>
      <c r="AD16" s="2" t="str">
        <v>Mental and behavioural disorders</v>
      </c>
      <c r="AE16" s="2" t="str">
        <v>Electrolyte imbalance</v>
      </c>
      <c r="AH16" s="2" t="str">
        <v>SLR, adaptation of CEM and BIM, STA write up</v>
      </c>
      <c r="AI16" s="2" t="str">
        <v>Procedure completed - no additional benefit</v>
      </c>
      <c r="AJ16" s="2" t="str">
        <v>Bronchitol</v>
      </c>
    </row>
    <row r="17" spans="1:36" ht="15" thickBot="1">
      <c r="A17" s="64">
        <v>16</v>
      </c>
      <c r="B17" s="61" t="s">
        <v>10</v>
      </c>
      <c r="C17" s="61" t="s">
        <v>11</v>
      </c>
      <c r="D17" s="58" t="s">
        <v>12</v>
      </c>
      <c r="E17" s="58" t="s">
        <v>13</v>
      </c>
      <c r="F17" s="58" t="s">
        <v>57</v>
      </c>
      <c r="G17" s="61">
        <v>2019</v>
      </c>
      <c r="H17" s="61">
        <f t="shared" si="0"/>
        <v>2019</v>
      </c>
      <c r="I17" s="58" t="s">
        <v>58</v>
      </c>
      <c r="J17" s="61" t="s">
        <v>43</v>
      </c>
      <c r="K17" s="85" t="s">
        <v>59</v>
      </c>
      <c r="L17" s="2" t="s">
        <v>18</v>
      </c>
      <c r="AB17" s="2">
        <v>0</v>
      </c>
      <c r="AD17" s="2" t="str">
        <v>Rare Disease</v>
      </c>
      <c r="AE17" s="2" t="str">
        <v>Metabolic disease</v>
      </c>
      <c r="AH17" s="2" t="str">
        <v>CEM adaptation, STA write up, post-submission support</v>
      </c>
      <c r="AI17" s="2" t="str">
        <v>Procedure completed - evidence of substantial additional benefit.</v>
      </c>
      <c r="AJ17" s="2" t="str">
        <v>Larotrectinib (Vitrakvi®) for NTRK fusion cancer</v>
      </c>
    </row>
    <row r="18" spans="1:36" ht="15" thickBot="1">
      <c r="A18" s="63">
        <v>17</v>
      </c>
      <c r="B18" s="59" t="s">
        <v>10</v>
      </c>
      <c r="C18" s="59" t="s">
        <v>11</v>
      </c>
      <c r="D18" s="60" t="s">
        <v>12</v>
      </c>
      <c r="E18" s="60" t="s">
        <v>13</v>
      </c>
      <c r="F18" s="60" t="s">
        <v>57</v>
      </c>
      <c r="G18" s="59">
        <v>2019</v>
      </c>
      <c r="H18" s="59">
        <f t="shared" si="0"/>
        <v>2019</v>
      </c>
      <c r="I18" s="60" t="s">
        <v>51</v>
      </c>
      <c r="J18" s="59" t="s">
        <v>43</v>
      </c>
      <c r="K18" s="84"/>
      <c r="L18" s="2" t="s">
        <v>18</v>
      </c>
      <c r="AD18" s="2" t="str">
        <v>Vaccines</v>
      </c>
      <c r="AE18" s="2" t="str">
        <v>Acute myeloid leukaemia</v>
      </c>
      <c r="AH18" s="2" t="str">
        <v>FTA write up, post-submission support</v>
      </c>
      <c r="AI18" s="2" t="str">
        <v>Procedure completed - Orphan - additional benefit</v>
      </c>
      <c r="AJ18" s="2" t="str">
        <v>Leuprorelin acetate (Prostap®) for pre- and perimenopausal women with advanced breast cancer suitable for hormonal manipulation.</v>
      </c>
    </row>
    <row r="19" spans="1:36" ht="15" thickBot="1">
      <c r="A19" s="64">
        <v>18</v>
      </c>
      <c r="B19" s="61" t="s">
        <v>10</v>
      </c>
      <c r="C19" s="61" t="s">
        <v>11</v>
      </c>
      <c r="D19" s="58" t="s">
        <v>12</v>
      </c>
      <c r="E19" s="58" t="s">
        <v>60</v>
      </c>
      <c r="F19" s="58" t="s">
        <v>61</v>
      </c>
      <c r="G19" s="61">
        <v>2019</v>
      </c>
      <c r="H19" s="61">
        <f t="shared" si="0"/>
        <v>2019</v>
      </c>
      <c r="I19" s="58" t="s">
        <v>62</v>
      </c>
      <c r="J19" s="61" t="s">
        <v>43</v>
      </c>
      <c r="K19" s="85"/>
      <c r="L19" s="2" t="s">
        <v>18</v>
      </c>
      <c r="AD19" s="2" t="str">
        <v>Urology</v>
      </c>
      <c r="AE19" s="2" t="str">
        <v>Moderate-to-severe plaque psoriasis</v>
      </c>
      <c r="AH19" s="2" t="str">
        <v>CEM, BIM, STA write up, strategy validation with KOLs, post submission support, SLR + updates, NMA</v>
      </c>
      <c r="AI19" s="2" t="str">
        <v>Procedure completed - non-quantifiable additional benefit</v>
      </c>
      <c r="AJ19" s="2" t="str">
        <v>Miconazole</v>
      </c>
    </row>
    <row r="20" spans="1:36" ht="15" thickBot="1">
      <c r="A20" s="63">
        <v>19</v>
      </c>
      <c r="B20" s="59" t="s">
        <v>10</v>
      </c>
      <c r="C20" s="59" t="s">
        <v>11</v>
      </c>
      <c r="D20" s="60" t="s">
        <v>12</v>
      </c>
      <c r="E20" s="60" t="s">
        <v>32</v>
      </c>
      <c r="F20" s="60" t="s">
        <v>63</v>
      </c>
      <c r="G20" s="59">
        <v>2019</v>
      </c>
      <c r="H20" s="59">
        <f t="shared" si="0"/>
        <v>2019</v>
      </c>
      <c r="I20" s="60" t="s">
        <v>64</v>
      </c>
      <c r="J20" s="59" t="s">
        <v>43</v>
      </c>
      <c r="K20" s="84"/>
      <c r="L20" s="2" t="s">
        <v>18</v>
      </c>
      <c r="AD20" s="2" t="str">
        <v>Neurology</v>
      </c>
      <c r="AE20" s="2" t="str">
        <v>Prostate cancer (high-risk nmCRPC)</v>
      </c>
      <c r="AH20" s="2" t="str">
        <v>SLRs, CEM, BIM, STA write up, post-submission support</v>
      </c>
      <c r="AI20" s="2" t="str">
        <v>Procedure completed - indication of significant additional benefit</v>
      </c>
      <c r="AJ20" s="2" t="str">
        <v>Dalbavancin</v>
      </c>
    </row>
    <row r="21" spans="1:36" ht="15" thickBot="1">
      <c r="A21" s="64">
        <v>20</v>
      </c>
      <c r="B21" s="61" t="s">
        <v>10</v>
      </c>
      <c r="C21" s="61" t="s">
        <v>11</v>
      </c>
      <c r="D21" s="58" t="s">
        <v>12</v>
      </c>
      <c r="E21" s="58" t="s">
        <v>13</v>
      </c>
      <c r="F21" s="58" t="s">
        <v>57</v>
      </c>
      <c r="G21" s="61">
        <v>2019</v>
      </c>
      <c r="H21" s="61">
        <f t="shared" si="0"/>
        <v>2019</v>
      </c>
      <c r="I21" s="58" t="s">
        <v>51</v>
      </c>
      <c r="J21" s="61" t="s">
        <v>65</v>
      </c>
      <c r="K21" s="85"/>
      <c r="L21" s="2" t="s">
        <v>18</v>
      </c>
      <c r="AD21" s="2" t="str">
        <v>Rheumatology</v>
      </c>
      <c r="AE21" s="2" t="str">
        <v>Hepatitis C</v>
      </c>
      <c r="AH21" s="2" t="str">
        <v>CEM, BIM, post-submission support</v>
      </c>
      <c r="AI21" s="2" t="str">
        <v>Completed</v>
      </c>
      <c r="AJ21" s="2" t="str">
        <v>Fidaxomicin</v>
      </c>
    </row>
    <row r="22" spans="1:36" ht="15" thickBot="1">
      <c r="A22" s="63">
        <v>21</v>
      </c>
      <c r="B22" s="59" t="s">
        <v>10</v>
      </c>
      <c r="C22" s="59" t="s">
        <v>11</v>
      </c>
      <c r="D22" s="60" t="s">
        <v>12</v>
      </c>
      <c r="E22" s="60" t="s">
        <v>60</v>
      </c>
      <c r="F22" s="60" t="s">
        <v>66</v>
      </c>
      <c r="G22" s="59">
        <v>2019</v>
      </c>
      <c r="H22" s="59">
        <f t="shared" si="0"/>
        <v>2019</v>
      </c>
      <c r="I22" s="60" t="s">
        <v>67</v>
      </c>
      <c r="J22" s="59" t="s">
        <v>43</v>
      </c>
      <c r="K22" s="84" t="s">
        <v>68</v>
      </c>
      <c r="L22" s="2" t="s">
        <v>18</v>
      </c>
      <c r="AD22" s="2" t="str">
        <v>Cardiology</v>
      </c>
      <c r="AE22" s="2" t="str">
        <v>Autologous chrondrocyte implantation</v>
      </c>
      <c r="AH22" s="2" t="str">
        <v>CEM/BIM revision, updated submission under CDF framework</v>
      </c>
      <c r="AI22" s="2" t="str">
        <v>Procedure completed -   Indication of significant additional benefit</v>
      </c>
      <c r="AJ22" s="2" t="str">
        <v>Xtandi</v>
      </c>
    </row>
    <row r="23" spans="1:36" ht="15" thickBot="1">
      <c r="A23" s="64">
        <v>22</v>
      </c>
      <c r="B23" s="61" t="s">
        <v>10</v>
      </c>
      <c r="C23" s="61" t="s">
        <v>11</v>
      </c>
      <c r="D23" s="58" t="s">
        <v>12</v>
      </c>
      <c r="E23" s="58" t="s">
        <v>13</v>
      </c>
      <c r="F23" s="58" t="s">
        <v>69</v>
      </c>
      <c r="G23" s="61">
        <v>2018</v>
      </c>
      <c r="H23" s="61">
        <f t="shared" si="0"/>
        <v>2018</v>
      </c>
      <c r="I23" s="58" t="s">
        <v>67</v>
      </c>
      <c r="J23" s="61" t="s">
        <v>43</v>
      </c>
      <c r="K23" s="85" t="s">
        <v>70</v>
      </c>
      <c r="L23" s="2" t="s">
        <v>18</v>
      </c>
      <c r="AD23" s="2" t="str">
        <v>Rare disease/ Ophthalmology</v>
      </c>
      <c r="AE23" s="2" t="str">
        <v>3rd Line Metastatic/Unresectable Gastrointestinal Stromal Tumour</v>
      </c>
      <c r="AH23" s="2" t="str">
        <v>SLR, CEM, BIM, STA write up</v>
      </c>
      <c r="AI23" s="2" t="str">
        <v>X</v>
      </c>
      <c r="AJ23" s="2" t="str">
        <v>Risankizumab</v>
      </c>
    </row>
    <row r="24" spans="1:36" ht="15" thickBot="1">
      <c r="A24" s="63">
        <v>23</v>
      </c>
      <c r="B24" s="59" t="s">
        <v>10</v>
      </c>
      <c r="C24" s="59" t="s">
        <v>11</v>
      </c>
      <c r="D24" s="60" t="s">
        <v>12</v>
      </c>
      <c r="E24" s="60" t="s">
        <v>71</v>
      </c>
      <c r="F24" s="60" t="s">
        <v>72</v>
      </c>
      <c r="G24" s="59">
        <v>2018</v>
      </c>
      <c r="H24" s="59">
        <f t="shared" si="0"/>
        <v>2018</v>
      </c>
      <c r="I24" s="60" t="s">
        <v>73</v>
      </c>
      <c r="J24" s="59" t="s">
        <v>16</v>
      </c>
      <c r="K24" s="84"/>
      <c r="L24" s="2" t="s">
        <v>18</v>
      </c>
      <c r="AD24" s="2" t="str">
        <v>Rare disease/ Rheumatology</v>
      </c>
      <c r="AE24" s="2" t="str">
        <v>Metastatic hepatocellular carcinoma</v>
      </c>
      <c r="AH24" s="2" t="str">
        <v>Economic/QoL SLR, CEM, BIM, STA write up</v>
      </c>
      <c r="AI24" s="2" t="str">
        <v>Class C</v>
      </c>
      <c r="AJ24" s="2" t="str">
        <v>Evolocumab</v>
      </c>
    </row>
    <row r="25" spans="1:36" ht="15" thickBot="1">
      <c r="A25" s="64">
        <v>24</v>
      </c>
      <c r="B25" s="61" t="s">
        <v>10</v>
      </c>
      <c r="C25" s="61" t="s">
        <v>11</v>
      </c>
      <c r="D25" s="58" t="s">
        <v>12</v>
      </c>
      <c r="E25" s="58" t="s">
        <v>13</v>
      </c>
      <c r="F25" s="58" t="s">
        <v>69</v>
      </c>
      <c r="G25" s="61">
        <v>2018</v>
      </c>
      <c r="H25" s="61">
        <f t="shared" si="0"/>
        <v>2018</v>
      </c>
      <c r="I25" s="58" t="s">
        <v>48</v>
      </c>
      <c r="J25" s="61" t="s">
        <v>16</v>
      </c>
      <c r="K25" s="85"/>
      <c r="L25" s="2" t="s">
        <v>18</v>
      </c>
      <c r="AD25" s="2" t="str">
        <v>Dermatology/ Rheumatology</v>
      </c>
      <c r="AE25" s="2" t="str">
        <v>Visual impairment due to macular oedema secondary to branch retinal vein occlusion</v>
      </c>
      <c r="AH25" s="2" t="str">
        <v>Updated survival data analysis, adaptation of CEM, BIM, STA write up </v>
      </c>
      <c r="AI25" s="2" t="str">
        <v>Reimbursed</v>
      </c>
      <c r="AJ25" s="2" t="str">
        <v>Blinatumomab</v>
      </c>
    </row>
    <row r="26" spans="1:36" ht="15" thickBot="1">
      <c r="A26" s="63">
        <v>25</v>
      </c>
      <c r="B26" s="59" t="s">
        <v>10</v>
      </c>
      <c r="C26" s="59" t="s">
        <v>11</v>
      </c>
      <c r="D26" s="60" t="s">
        <v>12</v>
      </c>
      <c r="E26" s="60" t="s">
        <v>13</v>
      </c>
      <c r="F26" s="60" t="s">
        <v>74</v>
      </c>
      <c r="G26" s="59">
        <v>2018</v>
      </c>
      <c r="H26" s="59">
        <f t="shared" si="0"/>
        <v>2018</v>
      </c>
      <c r="I26" s="60" t="s">
        <v>75</v>
      </c>
      <c r="J26" s="59" t="s">
        <v>65</v>
      </c>
      <c r="K26" s="84" t="s">
        <v>17</v>
      </c>
      <c r="L26" s="2" t="s">
        <v>18</v>
      </c>
      <c r="AD26" s="2" t="str">
        <v>Hematology</v>
      </c>
      <c r="AE26" s="2" t="str">
        <v>Advanced hepatocellular carcinoma</v>
      </c>
      <c r="AH26" s="2" t="str">
        <v xml:space="preserve">SLR, CEM, BIM, STA write up, represented company at NICE </v>
      </c>
      <c r="AI26" s="2" t="str">
        <v>Re-negotiated</v>
      </c>
      <c r="AJ26" s="2" t="str">
        <v>Apixaban</v>
      </c>
    </row>
    <row r="27" spans="1:36" ht="15" thickBot="1">
      <c r="A27" s="64">
        <v>26</v>
      </c>
      <c r="B27" s="61" t="s">
        <v>10</v>
      </c>
      <c r="C27" s="61" t="s">
        <v>11</v>
      </c>
      <c r="D27" s="58" t="s">
        <v>12</v>
      </c>
      <c r="E27" s="58" t="s">
        <v>76</v>
      </c>
      <c r="F27" s="58" t="s">
        <v>77</v>
      </c>
      <c r="G27" s="61">
        <v>2017</v>
      </c>
      <c r="H27" s="61">
        <f t="shared" si="0"/>
        <v>2017</v>
      </c>
      <c r="I27" s="58" t="s">
        <v>67</v>
      </c>
      <c r="J27" s="61" t="s">
        <v>43</v>
      </c>
      <c r="K27" s="85"/>
      <c r="L27" s="2" t="s">
        <v>18</v>
      </c>
      <c r="AD27" s="2" t="str">
        <v>Medical device</v>
      </c>
      <c r="AE27" s="2" t="str">
        <v>Prostate cancer</v>
      </c>
      <c r="AH27" s="2" t="str">
        <v>CEM, MTA write up</v>
      </c>
      <c r="AI27" s="2" t="str">
        <v>Reimbursed &amp; Innovative</v>
      </c>
      <c r="AJ27" s="2" t="str">
        <v xml:space="preserve">Anamorelin </v>
      </c>
    </row>
    <row r="28" spans="1:36" ht="15" thickBot="1">
      <c r="A28" s="63">
        <v>27</v>
      </c>
      <c r="B28" s="59" t="s">
        <v>10</v>
      </c>
      <c r="C28" s="59" t="s">
        <v>11</v>
      </c>
      <c r="D28" s="60" t="s">
        <v>12</v>
      </c>
      <c r="E28" s="60" t="s">
        <v>41</v>
      </c>
      <c r="F28" s="60" t="s">
        <v>78</v>
      </c>
      <c r="G28" s="59">
        <v>2017</v>
      </c>
      <c r="H28" s="59">
        <f t="shared" si="0"/>
        <v>2017</v>
      </c>
      <c r="I28" s="60" t="s">
        <v>79</v>
      </c>
      <c r="J28" s="59" t="s">
        <v>43</v>
      </c>
      <c r="K28" s="84"/>
      <c r="L28" s="2" t="s">
        <v>18</v>
      </c>
      <c r="O28" s="67"/>
      <c r="AD28" s="2" t="str">
        <v>Surgical operation</v>
      </c>
      <c r="AE28" s="2" t="str">
        <v>Treatment of adults with castration-resistant prostate cancer, symptomatic bone metastases and no known visceral metastases.</v>
      </c>
      <c r="AH28" s="2" t="str">
        <v>CEM</v>
      </c>
      <c r="AI28" s="2" t="str">
        <v>EMA withdrawn</v>
      </c>
      <c r="AJ28" s="2" t="str">
        <v xml:space="preserve"> Anamorelin </v>
      </c>
    </row>
    <row r="29" spans="1:36" ht="16.8" thickBot="1">
      <c r="A29" s="64">
        <v>28</v>
      </c>
      <c r="B29" s="61" t="s">
        <v>10</v>
      </c>
      <c r="C29" s="61" t="s">
        <v>11</v>
      </c>
      <c r="D29" s="58" t="s">
        <v>12</v>
      </c>
      <c r="E29" s="58" t="s">
        <v>13</v>
      </c>
      <c r="F29" s="58" t="s">
        <v>80</v>
      </c>
      <c r="G29" s="61">
        <v>2017</v>
      </c>
      <c r="H29" s="61">
        <f t="shared" si="0"/>
        <v>2017</v>
      </c>
      <c r="I29" s="58" t="s">
        <v>48</v>
      </c>
      <c r="J29" s="61" t="s">
        <v>43</v>
      </c>
      <c r="K29" s="85"/>
      <c r="L29" s="2" t="s">
        <v>18</v>
      </c>
      <c r="AD29" s="2" t="str">
        <v>Psychiatry</v>
      </c>
      <c r="AE29" s="2" t="str">
        <v>Dupuytren's contracture</v>
      </c>
      <c r="AH29" s="2" t="str">
        <v>NMA, CEM, STA write up</v>
      </c>
      <c r="AI29" s="2" t="str">
        <v>Under AIFA evaluation</v>
      </c>
      <c r="AJ29" s="2" t="str">
        <v>Perampanel</v>
      </c>
    </row>
    <row r="30" spans="1:36" ht="15" thickBot="1">
      <c r="A30" s="63">
        <v>29</v>
      </c>
      <c r="B30" s="59" t="s">
        <v>10</v>
      </c>
      <c r="C30" s="59" t="s">
        <v>11</v>
      </c>
      <c r="D30" s="60" t="s">
        <v>12</v>
      </c>
      <c r="E30" s="60" t="s">
        <v>41</v>
      </c>
      <c r="F30" s="60" t="s">
        <v>42</v>
      </c>
      <c r="G30" s="59">
        <v>2017</v>
      </c>
      <c r="H30" s="59">
        <f t="shared" si="0"/>
        <v>2017</v>
      </c>
      <c r="I30" s="60" t="s">
        <v>81</v>
      </c>
      <c r="J30" s="59" t="s">
        <v>43</v>
      </c>
      <c r="K30" s="84" t="s">
        <v>82</v>
      </c>
      <c r="L30" s="2" t="s">
        <v>18</v>
      </c>
      <c r="AD30" s="2" t="str">
        <v>Haemato-oncology</v>
      </c>
      <c r="AE30" s="2" t="str">
        <v>Type 2 diabetes</v>
      </c>
      <c r="AH30" s="2" t="str">
        <v>CEM, BIM, STA write up, strategy validation with KOLs, post submission support, OS adjustment</v>
      </c>
      <c r="AI30" s="2" t="str">
        <v>Completed (reimbursed)</v>
      </c>
      <c r="AJ30" s="2" t="str">
        <v>Empagliflozin/Metformin</v>
      </c>
    </row>
    <row r="31" spans="1:36" ht="15" thickBot="1">
      <c r="A31" s="64">
        <v>30</v>
      </c>
      <c r="B31" s="61" t="s">
        <v>10</v>
      </c>
      <c r="C31" s="61" t="s">
        <v>11</v>
      </c>
      <c r="D31" s="58" t="s">
        <v>12</v>
      </c>
      <c r="E31" s="58" t="s">
        <v>13</v>
      </c>
      <c r="F31" s="58" t="s">
        <v>83</v>
      </c>
      <c r="G31" s="61">
        <v>2016</v>
      </c>
      <c r="H31" s="61">
        <f t="shared" si="0"/>
        <v>2016</v>
      </c>
      <c r="I31" s="58" t="s">
        <v>84</v>
      </c>
      <c r="J31" s="61" t="s">
        <v>85</v>
      </c>
      <c r="K31" s="85"/>
      <c r="L31" s="2" t="s">
        <v>18</v>
      </c>
      <c r="AD31" s="2">
        <v>0</v>
      </c>
      <c r="AE31" s="2" t="str">
        <v>Visual impairment due to diabetic macular oedema</v>
      </c>
      <c r="AH31" s="2" t="str">
        <v>CEM, BIM, STA write up, post submission support</v>
      </c>
      <c r="AI31" s="2" t="str">
        <v>Completed (under evaluation)</v>
      </c>
      <c r="AJ31" s="2" t="str">
        <v>Empagliflozin/Linagliptin</v>
      </c>
    </row>
    <row r="32" spans="1:36" ht="15" thickBot="1">
      <c r="A32" s="63">
        <v>31</v>
      </c>
      <c r="B32" s="59" t="s">
        <v>10</v>
      </c>
      <c r="C32" s="59" t="s">
        <v>11</v>
      </c>
      <c r="D32" s="60" t="s">
        <v>12</v>
      </c>
      <c r="E32" s="60" t="s">
        <v>86</v>
      </c>
      <c r="F32" s="60" t="s">
        <v>87</v>
      </c>
      <c r="G32" s="59">
        <v>2016</v>
      </c>
      <c r="H32" s="59">
        <f t="shared" si="0"/>
        <v>2016</v>
      </c>
      <c r="I32" s="60" t="s">
        <v>88</v>
      </c>
      <c r="J32" s="59" t="s">
        <v>43</v>
      </c>
      <c r="K32" s="84"/>
      <c r="L32" s="2" t="s">
        <v>18</v>
      </c>
      <c r="AE32" s="2" t="str">
        <v>Visual impairment caused by macular oedema secondary to central retinal vein occlusion</v>
      </c>
      <c r="AH32" s="2" t="str">
        <v>CEM, BIM, STA write up, strategy validation with KOLs, post submission support, SLR, NMA</v>
      </c>
      <c r="AI32" s="2" t="str">
        <v>Completed (HTA positive assessment)</v>
      </c>
      <c r="AJ32" s="2" t="str">
        <v>Empagliflozin</v>
      </c>
    </row>
    <row r="33" spans="1:36" ht="15" thickBot="1">
      <c r="A33" s="64">
        <v>32</v>
      </c>
      <c r="B33" s="61" t="s">
        <v>10</v>
      </c>
      <c r="C33" s="61" t="s">
        <v>11</v>
      </c>
      <c r="D33" s="58" t="s">
        <v>12</v>
      </c>
      <c r="E33" s="58" t="s">
        <v>13</v>
      </c>
      <c r="F33" s="58" t="s">
        <v>89</v>
      </c>
      <c r="G33" s="61">
        <v>2016</v>
      </c>
      <c r="H33" s="61">
        <f t="shared" si="0"/>
        <v>2016</v>
      </c>
      <c r="I33" s="58" t="s">
        <v>48</v>
      </c>
      <c r="J33" s="61" t="s">
        <v>43</v>
      </c>
      <c r="K33" s="85"/>
      <c r="L33" s="2" t="s">
        <v>18</v>
      </c>
      <c r="AE33" s="2" t="str">
        <v>Prostate cancer (chemo-naive mCRPC)</v>
      </c>
      <c r="AH33" s="2" t="str">
        <v>CSP dossier</v>
      </c>
      <c r="AI33" s="2" t="str">
        <v>Completed (succesful negotiation)</v>
      </c>
      <c r="AJ33" s="2" t="str">
        <v xml:space="preserve">Plitidepsin </v>
      </c>
    </row>
    <row r="34" spans="1:36" ht="15" thickBot="1">
      <c r="A34" s="63">
        <v>33</v>
      </c>
      <c r="B34" s="59" t="s">
        <v>10</v>
      </c>
      <c r="C34" s="59" t="s">
        <v>11</v>
      </c>
      <c r="D34" s="60" t="s">
        <v>12</v>
      </c>
      <c r="E34" s="60" t="s">
        <v>71</v>
      </c>
      <c r="F34" s="60" t="s">
        <v>72</v>
      </c>
      <c r="G34" s="59">
        <v>2015</v>
      </c>
      <c r="H34" s="59">
        <f t="shared" si="0"/>
        <v>2015</v>
      </c>
      <c r="I34" s="60" t="s">
        <v>90</v>
      </c>
      <c r="J34" s="59" t="s">
        <v>43</v>
      </c>
      <c r="K34" s="84"/>
      <c r="L34" s="2" t="s">
        <v>18</v>
      </c>
      <c r="AE34" s="2" t="str">
        <v>Rivaroxaban for the treatment of deep vein thrombosis and prevention of recurrent deep vein thrombosis and pulmonary embolism</v>
      </c>
      <c r="AH34" s="2" t="str">
        <v>CEM adaptation, BIM, NPAF write up, NPAF strategy validation, post submission support</v>
      </c>
      <c r="AI34" s="2" t="str">
        <v>Completed (not submitted yet)</v>
      </c>
      <c r="AJ34" s="2" t="str">
        <v>Eribulin</v>
      </c>
    </row>
    <row r="35" spans="1:36" ht="15" thickBot="1">
      <c r="A35" s="64">
        <v>34</v>
      </c>
      <c r="B35" s="61" t="s">
        <v>10</v>
      </c>
      <c r="C35" s="61" t="s">
        <v>11</v>
      </c>
      <c r="D35" s="58" t="s">
        <v>12</v>
      </c>
      <c r="E35" s="58" t="s">
        <v>13</v>
      </c>
      <c r="F35" s="58" t="s">
        <v>91</v>
      </c>
      <c r="G35" s="61">
        <v>2015</v>
      </c>
      <c r="H35" s="61">
        <f t="shared" si="0"/>
        <v>2015</v>
      </c>
      <c r="I35" s="58" t="s">
        <v>92</v>
      </c>
      <c r="J35" s="61" t="s">
        <v>43</v>
      </c>
      <c r="K35" s="85"/>
      <c r="L35" s="2" t="s">
        <v>18</v>
      </c>
      <c r="AE35" s="2" t="str">
        <v>Wet age-related macular degeneration</v>
      </c>
      <c r="AH35" s="2" t="str">
        <v>SMC submission</v>
      </c>
      <c r="AI35" s="2" t="str">
        <v>Positive reimbursement advice</v>
      </c>
      <c r="AJ35" s="2" t="str">
        <v xml:space="preserve">Blinatumomab </v>
      </c>
    </row>
    <row r="36" spans="1:36" ht="15" thickBot="1">
      <c r="A36" s="63">
        <v>35</v>
      </c>
      <c r="B36" s="59" t="s">
        <v>10</v>
      </c>
      <c r="C36" s="59" t="s">
        <v>11</v>
      </c>
      <c r="D36" s="60" t="s">
        <v>12</v>
      </c>
      <c r="E36" s="60" t="s">
        <v>13</v>
      </c>
      <c r="F36" s="60" t="s">
        <v>93</v>
      </c>
      <c r="G36" s="59">
        <v>2015</v>
      </c>
      <c r="H36" s="59">
        <f t="shared" si="0"/>
        <v>2015</v>
      </c>
      <c r="I36" s="60" t="s">
        <v>94</v>
      </c>
      <c r="J36" s="59" t="s">
        <v>43</v>
      </c>
      <c r="K36" s="84"/>
      <c r="L36" s="2" t="s">
        <v>18</v>
      </c>
      <c r="AE36" s="2" t="str">
        <v>Diabetic macular edema</v>
      </c>
      <c r="AH36" s="2" t="str">
        <v>CEM adaptation, NPAF write-up, post-subimssion support</v>
      </c>
      <c r="AI36" s="2" t="str">
        <v>XXX</v>
      </c>
      <c r="AJ36" s="2" t="str">
        <v>Velmanase alfa</v>
      </c>
    </row>
    <row r="37" spans="1:36" ht="15" thickBot="1">
      <c r="A37" s="64">
        <v>36</v>
      </c>
      <c r="B37" s="61" t="s">
        <v>10</v>
      </c>
      <c r="C37" s="61" t="s">
        <v>11</v>
      </c>
      <c r="D37" s="58" t="s">
        <v>12</v>
      </c>
      <c r="E37" s="58" t="s">
        <v>41</v>
      </c>
      <c r="F37" s="58" t="s">
        <v>95</v>
      </c>
      <c r="G37" s="61">
        <v>2015</v>
      </c>
      <c r="H37" s="61">
        <f t="shared" si="0"/>
        <v>2015</v>
      </c>
      <c r="I37" s="58" t="s">
        <v>96</v>
      </c>
      <c r="J37" s="61" t="s">
        <v>43</v>
      </c>
      <c r="K37" s="85"/>
      <c r="L37" s="2" t="s">
        <v>18</v>
      </c>
      <c r="AE37" s="2" t="str">
        <v>Prostate cancer (post-chemo mCRPC)</v>
      </c>
      <c r="AH37" s="2" t="str">
        <v>CEM development, SLR, NPAF write-up</v>
      </c>
      <c r="AI37" s="2" t="str">
        <v>Reimbursed after price negotiation</v>
      </c>
      <c r="AJ37" s="2" t="str">
        <v>Lenvatinib</v>
      </c>
    </row>
    <row r="38" spans="1:36" ht="15" thickBot="1">
      <c r="A38" s="63">
        <v>37</v>
      </c>
      <c r="B38" s="59" t="s">
        <v>10</v>
      </c>
      <c r="C38" s="59" t="s">
        <v>11</v>
      </c>
      <c r="D38" s="60" t="s">
        <v>12</v>
      </c>
      <c r="E38" s="60" t="s">
        <v>60</v>
      </c>
      <c r="F38" s="60" t="s">
        <v>97</v>
      </c>
      <c r="G38" s="59">
        <v>2015</v>
      </c>
      <c r="H38" s="59">
        <f t="shared" si="0"/>
        <v>2015</v>
      </c>
      <c r="I38" s="60" t="s">
        <v>98</v>
      </c>
      <c r="J38" s="59" t="s">
        <v>43</v>
      </c>
      <c r="K38" s="84"/>
      <c r="L38" s="2" t="s">
        <v>18</v>
      </c>
      <c r="AE38" s="2" t="str">
        <v>Rivaroxaban for treating pulmonary embolism and preventing recurrent venous thromboembolism</v>
      </c>
      <c r="AH38" s="2" t="str">
        <v>CEM QC, SMC submission</v>
      </c>
      <c r="AI38" s="2" t="str">
        <v>Price negotiation recommended</v>
      </c>
      <c r="AJ38" s="2" t="str">
        <v>Guselkumab</v>
      </c>
    </row>
    <row r="39" spans="1:36" ht="15" thickBot="1">
      <c r="A39" s="64">
        <v>38</v>
      </c>
      <c r="B39" s="61" t="s">
        <v>10</v>
      </c>
      <c r="C39" s="61" t="s">
        <v>11</v>
      </c>
      <c r="D39" s="58" t="s">
        <v>12</v>
      </c>
      <c r="E39" s="58" t="s">
        <v>86</v>
      </c>
      <c r="F39" s="58" t="s">
        <v>99</v>
      </c>
      <c r="G39" s="61">
        <v>2014</v>
      </c>
      <c r="H39" s="61">
        <f t="shared" si="0"/>
        <v>2014</v>
      </c>
      <c r="I39" s="58" t="s">
        <v>100</v>
      </c>
      <c r="J39" s="61" t="s">
        <v>43</v>
      </c>
      <c r="K39" s="85"/>
      <c r="L39" s="2" t="s">
        <v>18</v>
      </c>
      <c r="AE39" s="2" t="str">
        <v>Rivaroxaban for the prevention of stroke and systemic embolism in people with atrial fibrillation</v>
      </c>
      <c r="AH39" s="2" t="str">
        <v>SLR, model updated, SMC submission</v>
      </c>
      <c r="AJ39" s="2" t="str">
        <v>Sirukumab</v>
      </c>
    </row>
    <row r="40" spans="1:36" ht="15" thickBot="1">
      <c r="A40" s="63">
        <v>39</v>
      </c>
      <c r="B40" s="59" t="s">
        <v>10</v>
      </c>
      <c r="C40" s="59" t="s">
        <v>11</v>
      </c>
      <c r="D40" s="60" t="s">
        <v>12</v>
      </c>
      <c r="E40" s="60" t="s">
        <v>86</v>
      </c>
      <c r="F40" s="60" t="s">
        <v>101</v>
      </c>
      <c r="G40" s="59">
        <v>2014</v>
      </c>
      <c r="H40" s="59">
        <f t="shared" si="0"/>
        <v>2014</v>
      </c>
      <c r="I40" s="60" t="s">
        <v>88</v>
      </c>
      <c r="J40" s="59" t="s">
        <v>43</v>
      </c>
      <c r="K40" s="84"/>
      <c r="L40" s="2" t="s">
        <v>18</v>
      </c>
      <c r="AE40" s="2" t="str">
        <v>In combination with oral anti-diabetic therapy for the treatment of type 2 diabetes</v>
      </c>
      <c r="AH40" s="2" t="str">
        <v>SMC submission and post-admission support</v>
      </c>
      <c r="AJ40" s="2" t="str">
        <v>Brodalumab</v>
      </c>
    </row>
    <row r="41" spans="1:36" ht="15" thickBot="1">
      <c r="A41" s="64">
        <v>40</v>
      </c>
      <c r="B41" s="61" t="s">
        <v>10</v>
      </c>
      <c r="C41" s="61" t="s">
        <v>11</v>
      </c>
      <c r="D41" s="58" t="s">
        <v>12</v>
      </c>
      <c r="E41" s="58" t="s">
        <v>13</v>
      </c>
      <c r="F41" s="58" t="s">
        <v>102</v>
      </c>
      <c r="G41" s="61">
        <v>2014</v>
      </c>
      <c r="H41" s="61">
        <f t="shared" si="0"/>
        <v>2014</v>
      </c>
      <c r="I41" s="58" t="s">
        <v>103</v>
      </c>
      <c r="J41" s="61" t="s">
        <v>43</v>
      </c>
      <c r="K41" s="85" t="s">
        <v>17</v>
      </c>
      <c r="L41" s="2" t="s">
        <v>18</v>
      </c>
      <c r="AE41" s="2" t="str">
        <v>Hypercholesterolemia</v>
      </c>
      <c r="AH41" s="2" t="str">
        <v>CEM, SMC submission</v>
      </c>
      <c r="AJ41" s="2" t="str">
        <v xml:space="preserve">Nonacog beta pegol </v>
      </c>
    </row>
    <row r="42" spans="1:36" ht="15" thickBot="1">
      <c r="A42" s="63">
        <v>41</v>
      </c>
      <c r="B42" s="59" t="s">
        <v>10</v>
      </c>
      <c r="C42" s="59" t="s">
        <v>11</v>
      </c>
      <c r="D42" s="60" t="s">
        <v>12</v>
      </c>
      <c r="E42" s="60" t="s">
        <v>32</v>
      </c>
      <c r="F42" s="60" t="s">
        <v>104</v>
      </c>
      <c r="G42" s="59">
        <v>2013</v>
      </c>
      <c r="H42" s="59">
        <f t="shared" si="0"/>
        <v>2013</v>
      </c>
      <c r="I42" s="60" t="s">
        <v>94</v>
      </c>
      <c r="J42" s="59" t="s">
        <v>43</v>
      </c>
      <c r="K42" s="84"/>
      <c r="L42" s="2" t="s">
        <v>18</v>
      </c>
      <c r="AE42" s="2" t="str">
        <v>Type 2 diabetes</v>
      </c>
      <c r="AH42" s="2" t="str">
        <v>CEM and BIM QC, SMC submission</v>
      </c>
      <c r="AJ42" s="2" t="str">
        <v>Melatonin</v>
      </c>
    </row>
    <row r="43" spans="1:36" ht="15" thickBot="1">
      <c r="A43" s="64">
        <v>42</v>
      </c>
      <c r="B43" s="61" t="s">
        <v>10</v>
      </c>
      <c r="C43" s="61" t="s">
        <v>11</v>
      </c>
      <c r="D43" s="58" t="s">
        <v>12</v>
      </c>
      <c r="E43" s="58" t="s">
        <v>86</v>
      </c>
      <c r="F43" s="58" t="s">
        <v>105</v>
      </c>
      <c r="G43" s="61">
        <v>2013</v>
      </c>
      <c r="H43" s="61">
        <f t="shared" si="0"/>
        <v>2013</v>
      </c>
      <c r="I43" s="58" t="s">
        <v>48</v>
      </c>
      <c r="J43" s="61" t="s">
        <v>43</v>
      </c>
      <c r="K43" s="85"/>
      <c r="L43" s="2" t="s">
        <v>18</v>
      </c>
      <c r="AE43" s="2" t="str">
        <v>Acute myeloid leukemia</v>
      </c>
      <c r="AH43" s="2" t="str">
        <v>CEM, NMA, SLR, SMC submission</v>
      </c>
      <c r="AJ43" s="2" t="str">
        <v>Cabozantinib</v>
      </c>
    </row>
    <row r="44" spans="1:36" ht="15" thickBot="1">
      <c r="A44" s="63">
        <v>43</v>
      </c>
      <c r="B44" s="59" t="s">
        <v>10</v>
      </c>
      <c r="C44" s="59" t="s">
        <v>11</v>
      </c>
      <c r="D44" s="60" t="s">
        <v>12</v>
      </c>
      <c r="E44" s="60" t="s">
        <v>60</v>
      </c>
      <c r="F44" s="60" t="s">
        <v>97</v>
      </c>
      <c r="G44" s="59">
        <v>2013</v>
      </c>
      <c r="H44" s="59">
        <f t="shared" si="0"/>
        <v>2013</v>
      </c>
      <c r="I44" s="60" t="s">
        <v>98</v>
      </c>
      <c r="J44" s="59" t="s">
        <v>43</v>
      </c>
      <c r="K44" s="84"/>
      <c r="L44" s="2" t="s">
        <v>18</v>
      </c>
      <c r="AE44" s="2" t="str">
        <v>Plaque psoriasis</v>
      </c>
      <c r="AH44" s="2" t="str">
        <v>NPAF write up, postsubmission support</v>
      </c>
      <c r="AJ44" s="2" t="str">
        <v>Picato</v>
      </c>
    </row>
    <row r="45" spans="1:36" ht="15" thickBot="1">
      <c r="A45" s="64">
        <v>44</v>
      </c>
      <c r="B45" s="61" t="s">
        <v>10</v>
      </c>
      <c r="C45" s="61" t="s">
        <v>11</v>
      </c>
      <c r="D45" s="58" t="s">
        <v>12</v>
      </c>
      <c r="E45" s="58" t="s">
        <v>86</v>
      </c>
      <c r="F45" s="58" t="s">
        <v>106</v>
      </c>
      <c r="G45" s="61">
        <v>2013</v>
      </c>
      <c r="H45" s="61">
        <f t="shared" si="0"/>
        <v>2013</v>
      </c>
      <c r="I45" s="58" t="s">
        <v>107</v>
      </c>
      <c r="J45" s="61" t="s">
        <v>43</v>
      </c>
      <c r="K45" s="85" t="s">
        <v>108</v>
      </c>
      <c r="L45" s="2" t="s">
        <v>18</v>
      </c>
      <c r="AE45" s="2" t="str">
        <v>Hyperkalemia</v>
      </c>
      <c r="AH45" s="2" t="str">
        <v>CEM adaptation, BIM, NPAF write up, NPAF strategy validation, post submission support, SLR, NMA</v>
      </c>
      <c r="AJ45" s="2" t="str">
        <v>Ribociclib</v>
      </c>
    </row>
    <row r="46" spans="1:36" ht="15" thickBot="1">
      <c r="A46" s="63">
        <v>45</v>
      </c>
      <c r="B46" s="59" t="s">
        <v>10</v>
      </c>
      <c r="C46" s="59" t="s">
        <v>11</v>
      </c>
      <c r="D46" s="60" t="s">
        <v>12</v>
      </c>
      <c r="E46" s="60" t="s">
        <v>13</v>
      </c>
      <c r="F46" s="60" t="s">
        <v>109</v>
      </c>
      <c r="G46" s="59">
        <v>2013</v>
      </c>
      <c r="H46" s="59">
        <f t="shared" si="0"/>
        <v>2013</v>
      </c>
      <c r="I46" s="60" t="s">
        <v>110</v>
      </c>
      <c r="J46" s="59" t="s">
        <v>43</v>
      </c>
      <c r="K46" s="84" t="s">
        <v>17</v>
      </c>
      <c r="L46" s="2" t="s">
        <v>18</v>
      </c>
      <c r="AE46" s="2" t="str">
        <v>Contraception</v>
      </c>
      <c r="AH46" s="2" t="str">
        <v>CEM adaptation, BIM, Section 6</v>
      </c>
      <c r="AJ46" s="2" t="str">
        <v>Naldemedin</v>
      </c>
    </row>
    <row r="47" spans="1:36" ht="15" thickBot="1">
      <c r="A47" s="64">
        <v>46</v>
      </c>
      <c r="B47" s="61" t="s">
        <v>10</v>
      </c>
      <c r="C47" s="61" t="s">
        <v>11</v>
      </c>
      <c r="D47" s="58" t="s">
        <v>12</v>
      </c>
      <c r="E47" s="58" t="s">
        <v>32</v>
      </c>
      <c r="F47" s="58" t="s">
        <v>111</v>
      </c>
      <c r="G47" s="61">
        <v>2012</v>
      </c>
      <c r="H47" s="61">
        <f t="shared" si="0"/>
        <v>2012</v>
      </c>
      <c r="I47" s="58" t="s">
        <v>88</v>
      </c>
      <c r="J47" s="61" t="s">
        <v>43</v>
      </c>
      <c r="K47" s="85"/>
      <c r="L47" s="2" t="s">
        <v>18</v>
      </c>
      <c r="AE47" s="2" t="str">
        <v>Hepatocellular carcinoma</v>
      </c>
      <c r="AH47" s="2" t="str">
        <v>AWMSG submission</v>
      </c>
      <c r="AJ47" s="2" t="str">
        <v>Naldemedine</v>
      </c>
    </row>
    <row r="48" spans="1:36" ht="15" thickBot="1">
      <c r="A48" s="63">
        <v>47</v>
      </c>
      <c r="B48" s="59" t="s">
        <v>10</v>
      </c>
      <c r="C48" s="59" t="s">
        <v>11</v>
      </c>
      <c r="D48" s="60" t="s">
        <v>12</v>
      </c>
      <c r="E48" s="60" t="s">
        <v>32</v>
      </c>
      <c r="F48" s="60" t="s">
        <v>112</v>
      </c>
      <c r="G48" s="59">
        <v>2012</v>
      </c>
      <c r="H48" s="59">
        <f t="shared" si="0"/>
        <v>2012</v>
      </c>
      <c r="I48" s="60" t="s">
        <v>94</v>
      </c>
      <c r="J48" s="59" t="s">
        <v>43</v>
      </c>
      <c r="K48" s="84"/>
      <c r="L48" s="2" t="s">
        <v>18</v>
      </c>
      <c r="AE48" s="2" t="str">
        <v>3rd line metastatic GIST</v>
      </c>
      <c r="AH48" s="2" t="str">
        <v>Form A, Form B</v>
      </c>
      <c r="AJ48" s="2" t="str">
        <v>Multiple</v>
      </c>
    </row>
    <row r="49" spans="1:36" ht="15" thickBot="1">
      <c r="A49" s="64">
        <v>48</v>
      </c>
      <c r="B49" s="61" t="s">
        <v>10</v>
      </c>
      <c r="C49" s="61" t="s">
        <v>11</v>
      </c>
      <c r="D49" s="58" t="s">
        <v>12</v>
      </c>
      <c r="E49" s="58" t="s">
        <v>60</v>
      </c>
      <c r="F49" s="58" t="s">
        <v>113</v>
      </c>
      <c r="G49" s="61">
        <v>2012</v>
      </c>
      <c r="H49" s="61">
        <f t="shared" si="0"/>
        <v>2012</v>
      </c>
      <c r="I49" s="58" t="s">
        <v>48</v>
      </c>
      <c r="J49" s="61" t="s">
        <v>43</v>
      </c>
      <c r="K49" s="85"/>
      <c r="L49" s="2" t="s">
        <v>18</v>
      </c>
      <c r="AE49" s="2" t="str">
        <v>Branch retinal vein occlusion</v>
      </c>
      <c r="AH49" s="2" t="str">
        <v>CEM, dossier post-submission support</v>
      </c>
      <c r="AJ49" s="2" t="str">
        <v>Carfilzomib</v>
      </c>
    </row>
    <row r="50" spans="1:36" ht="15" thickBot="1">
      <c r="A50" s="63">
        <v>49</v>
      </c>
      <c r="B50" s="59" t="s">
        <v>10</v>
      </c>
      <c r="C50" s="59" t="s">
        <v>11</v>
      </c>
      <c r="D50" s="60" t="s">
        <v>12</v>
      </c>
      <c r="E50" s="60" t="s">
        <v>60</v>
      </c>
      <c r="F50" s="60" t="s">
        <v>37</v>
      </c>
      <c r="G50" s="59">
        <v>2012</v>
      </c>
      <c r="H50" s="59">
        <f t="shared" si="0"/>
        <v>2012</v>
      </c>
      <c r="I50" s="60" t="s">
        <v>107</v>
      </c>
      <c r="J50" s="59" t="s">
        <v>43</v>
      </c>
      <c r="K50" s="84" t="s">
        <v>114</v>
      </c>
      <c r="L50" s="2" t="s">
        <v>18</v>
      </c>
      <c r="AE50" s="2" t="str">
        <v xml:space="preserve">Oropharyngeal candidiasis (OPC) in immunocompromised patients </v>
      </c>
      <c r="AH50" s="2" t="str">
        <v>BIM, AWMSG dossier (Form B)</v>
      </c>
      <c r="AJ50" s="2" t="str">
        <v>Ide-Cel</v>
      </c>
    </row>
    <row r="51" spans="1:36" ht="15" thickBot="1">
      <c r="A51" s="64">
        <v>51</v>
      </c>
      <c r="B51" s="61" t="s">
        <v>10</v>
      </c>
      <c r="C51" s="61" t="s">
        <v>11</v>
      </c>
      <c r="D51" s="58" t="s">
        <v>115</v>
      </c>
      <c r="E51" s="58" t="s">
        <v>60</v>
      </c>
      <c r="F51" s="58" t="s">
        <v>116</v>
      </c>
      <c r="G51" s="61">
        <v>2017</v>
      </c>
      <c r="H51" s="61">
        <f t="shared" si="0"/>
        <v>2017</v>
      </c>
      <c r="I51" s="58" t="s">
        <v>117</v>
      </c>
      <c r="J51" s="61" t="s">
        <v>43</v>
      </c>
      <c r="K51" s="85"/>
      <c r="L51" s="2" t="s">
        <v>18</v>
      </c>
      <c r="AE51" s="2" t="str">
        <v>Acute bacterial skin and skin structure infections (ABSSSI)</v>
      </c>
      <c r="AH51" s="2" t="str">
        <v>CEM adaptation, BIM, Form B write up, AWMSG strategy validation, post submission support</v>
      </c>
      <c r="AJ51" s="2" t="str">
        <v>Liso-Cel</v>
      </c>
    </row>
    <row r="52" spans="1:36" ht="15" thickBot="1">
      <c r="A52" s="63">
        <v>52</v>
      </c>
      <c r="B52" s="59" t="s">
        <v>118</v>
      </c>
      <c r="C52" s="59" t="s">
        <v>119</v>
      </c>
      <c r="D52" s="60" t="s">
        <v>120</v>
      </c>
      <c r="E52" s="60" t="s">
        <v>13</v>
      </c>
      <c r="F52" s="60" t="s">
        <v>19</v>
      </c>
      <c r="G52" s="59">
        <v>2021</v>
      </c>
      <c r="H52" s="59">
        <f t="shared" si="0"/>
        <v>2021</v>
      </c>
      <c r="I52" s="60" t="s">
        <v>121</v>
      </c>
      <c r="J52" s="59" t="s">
        <v>16</v>
      </c>
      <c r="K52" s="84" t="s">
        <v>17</v>
      </c>
      <c r="L52" s="2" t="s">
        <v>18</v>
      </c>
      <c r="AE52" s="2" t="str">
        <v>Clostridium difficile infections</v>
      </c>
      <c r="AH52" s="2" t="str">
        <v>Rapid review, CEM adaptation, BIM, STA write-up, post-submission support</v>
      </c>
      <c r="AJ52" s="2" t="str">
        <v>Everolimus-Lenvatinib</v>
      </c>
    </row>
    <row r="53" spans="1:36" ht="15" thickBot="1">
      <c r="A53" s="64">
        <v>53</v>
      </c>
      <c r="B53" s="61" t="s">
        <v>118</v>
      </c>
      <c r="C53" s="61" t="s">
        <v>119</v>
      </c>
      <c r="D53" s="58" t="s">
        <v>120</v>
      </c>
      <c r="E53" s="58" t="s">
        <v>21</v>
      </c>
      <c r="F53" s="58" t="s">
        <v>22</v>
      </c>
      <c r="G53" s="61">
        <v>2021</v>
      </c>
      <c r="H53" s="61">
        <f t="shared" si="0"/>
        <v>2021</v>
      </c>
      <c r="I53" s="58" t="s">
        <v>15</v>
      </c>
      <c r="J53" s="61" t="s">
        <v>16</v>
      </c>
      <c r="K53" s="85" t="s">
        <v>23</v>
      </c>
      <c r="L53" s="2" t="s">
        <v>18</v>
      </c>
      <c r="AE53" s="2" t="str">
        <v>Haematology</v>
      </c>
      <c r="AH53" s="2" t="str">
        <v>Rapid review</v>
      </c>
      <c r="AJ53" s="2" t="str">
        <v>Cometriq</v>
      </c>
    </row>
    <row r="54" spans="1:36" ht="15" thickBot="1">
      <c r="A54" s="63">
        <v>54</v>
      </c>
      <c r="B54" s="59" t="s">
        <v>118</v>
      </c>
      <c r="C54" s="59" t="s">
        <v>119</v>
      </c>
      <c r="D54" s="60" t="s">
        <v>120</v>
      </c>
      <c r="E54" s="60" t="s">
        <v>24</v>
      </c>
      <c r="F54" s="60" t="s">
        <v>25</v>
      </c>
      <c r="G54" s="59">
        <v>2021</v>
      </c>
      <c r="H54" s="59">
        <f t="shared" si="0"/>
        <v>2021</v>
      </c>
      <c r="I54" s="60" t="s">
        <v>122</v>
      </c>
      <c r="J54" s="59" t="s">
        <v>16</v>
      </c>
      <c r="K54" s="84" t="s">
        <v>26</v>
      </c>
      <c r="L54" s="2" t="s">
        <v>18</v>
      </c>
      <c r="AE54" s="2" t="str">
        <v>Hepatic veno-occlusive disease</v>
      </c>
      <c r="AH54" s="2" t="str">
        <v>CEM adaptation, BIM, Rapid Review Form write up, Scoping Meeting, Full dossier, post submission support</v>
      </c>
      <c r="AJ54" s="2" t="str">
        <v>Palovaroten</v>
      </c>
    </row>
    <row r="55" spans="1:36" ht="15" thickBot="1">
      <c r="A55" s="64">
        <v>55</v>
      </c>
      <c r="B55" s="61" t="s">
        <v>118</v>
      </c>
      <c r="C55" s="61" t="s">
        <v>119</v>
      </c>
      <c r="D55" s="58" t="s">
        <v>120</v>
      </c>
      <c r="E55" s="58" t="s">
        <v>41</v>
      </c>
      <c r="F55" s="58" t="s">
        <v>42</v>
      </c>
      <c r="G55" s="61">
        <v>2021</v>
      </c>
      <c r="H55" s="61">
        <f t="shared" si="0"/>
        <v>2021</v>
      </c>
      <c r="I55" s="58" t="s">
        <v>122</v>
      </c>
      <c r="J55" s="61" t="s">
        <v>16</v>
      </c>
      <c r="K55" s="85" t="s">
        <v>26</v>
      </c>
      <c r="L55" s="2" t="s">
        <v>18</v>
      </c>
      <c r="AE55" s="2" t="str">
        <v xml:space="preserve">Non metastatic castration refractory prostate cancer </v>
      </c>
      <c r="AH55" s="2" t="str">
        <v>Full economic assessment</v>
      </c>
      <c r="AJ55" s="2" t="str">
        <v>Gazyvaro</v>
      </c>
    </row>
    <row r="56" spans="1:36" ht="15" thickBot="1">
      <c r="A56" s="63">
        <v>56</v>
      </c>
      <c r="B56" s="59" t="s">
        <v>118</v>
      </c>
      <c r="C56" s="59" t="s">
        <v>119</v>
      </c>
      <c r="D56" s="60" t="s">
        <v>120</v>
      </c>
      <c r="E56" s="60" t="s">
        <v>13</v>
      </c>
      <c r="F56" s="60" t="s">
        <v>27</v>
      </c>
      <c r="G56" s="59">
        <v>2021</v>
      </c>
      <c r="H56" s="59">
        <f t="shared" si="0"/>
        <v>2021</v>
      </c>
      <c r="I56" s="60" t="s">
        <v>123</v>
      </c>
      <c r="J56" s="59" t="s">
        <v>16</v>
      </c>
      <c r="K56" s="84" t="s">
        <v>124</v>
      </c>
      <c r="L56" s="2" t="s">
        <v>18</v>
      </c>
      <c r="AE56" s="2" t="str">
        <v>Rheumatoid arthritis</v>
      </c>
      <c r="AH56" s="2" t="str">
        <v>Economic assessment</v>
      </c>
      <c r="AJ56" s="2" t="str">
        <v>Isatuximab</v>
      </c>
    </row>
    <row r="57" spans="1:36" ht="15" thickBot="1">
      <c r="A57" s="64">
        <v>57</v>
      </c>
      <c r="B57" s="61" t="s">
        <v>118</v>
      </c>
      <c r="C57" s="61" t="s">
        <v>119</v>
      </c>
      <c r="D57" s="58" t="s">
        <v>120</v>
      </c>
      <c r="E57" s="58" t="s">
        <v>13</v>
      </c>
      <c r="F57" s="58" t="s">
        <v>27</v>
      </c>
      <c r="G57" s="61">
        <v>2020</v>
      </c>
      <c r="H57" s="61">
        <f t="shared" si="0"/>
        <v>2020</v>
      </c>
      <c r="I57" s="58" t="s">
        <v>125</v>
      </c>
      <c r="J57" s="61" t="s">
        <v>43</v>
      </c>
      <c r="K57" s="85" t="s">
        <v>126</v>
      </c>
      <c r="L57" s="2" t="s">
        <v>18</v>
      </c>
      <c r="AE57" s="2" t="str">
        <v>Parkinson’s disease</v>
      </c>
      <c r="AH57" s="2" t="str">
        <v>NMA &amp; economics sections only</v>
      </c>
      <c r="AJ57" s="2" t="str">
        <v>Cefiderocol</v>
      </c>
    </row>
    <row r="58" spans="1:36" ht="15" thickBot="1">
      <c r="A58" s="63">
        <v>58</v>
      </c>
      <c r="B58" s="59" t="s">
        <v>118</v>
      </c>
      <c r="C58" s="59" t="s">
        <v>119</v>
      </c>
      <c r="D58" s="60" t="s">
        <v>120</v>
      </c>
      <c r="E58" s="60" t="s">
        <v>41</v>
      </c>
      <c r="F58" s="60" t="s">
        <v>42</v>
      </c>
      <c r="G58" s="59">
        <v>2020</v>
      </c>
      <c r="H58" s="59">
        <f t="shared" si="0"/>
        <v>2020</v>
      </c>
      <c r="I58" s="60" t="s">
        <v>122</v>
      </c>
      <c r="J58" s="59" t="s">
        <v>43</v>
      </c>
      <c r="K58" s="84" t="s">
        <v>54</v>
      </c>
      <c r="L58" s="2" t="s">
        <v>18</v>
      </c>
      <c r="AE58" s="2" t="str">
        <v>Hepatitis C (2 indications)</v>
      </c>
      <c r="AH58" s="2" t="str">
        <v>Rapid review &amp; economic assessment</v>
      </c>
      <c r="AJ58" s="2" t="str">
        <v xml:space="preserve"> Ibalizumab</v>
      </c>
    </row>
    <row r="59" spans="1:36" ht="15" thickBot="1">
      <c r="A59" s="64">
        <v>59</v>
      </c>
      <c r="B59" s="61" t="s">
        <v>118</v>
      </c>
      <c r="C59" s="61" t="s">
        <v>119</v>
      </c>
      <c r="D59" s="58" t="s">
        <v>120</v>
      </c>
      <c r="E59" s="58" t="s">
        <v>60</v>
      </c>
      <c r="F59" s="58" t="s">
        <v>127</v>
      </c>
      <c r="G59" s="61">
        <v>2019</v>
      </c>
      <c r="H59" s="61">
        <f t="shared" si="0"/>
        <v>2019</v>
      </c>
      <c r="I59" s="58" t="s">
        <v>122</v>
      </c>
      <c r="J59" s="61" t="s">
        <v>16</v>
      </c>
      <c r="K59" s="85"/>
      <c r="L59" s="2" t="s">
        <v>18</v>
      </c>
      <c r="AE59" s="2" t="str">
        <v>Diabetes/endocrine disorders</v>
      </c>
      <c r="AH59" s="2" t="str">
        <v>Rapid review &amp; full economic assessment</v>
      </c>
      <c r="AJ59" s="2" t="str">
        <v>Symkevi</v>
      </c>
    </row>
    <row r="60" spans="1:36" ht="15" thickBot="1">
      <c r="A60" s="63">
        <v>60</v>
      </c>
      <c r="B60" s="59" t="s">
        <v>118</v>
      </c>
      <c r="C60" s="59" t="s">
        <v>119</v>
      </c>
      <c r="D60" s="60" t="s">
        <v>120</v>
      </c>
      <c r="E60" s="60" t="s">
        <v>13</v>
      </c>
      <c r="F60" s="60" t="s">
        <v>128</v>
      </c>
      <c r="G60" s="59">
        <v>2019</v>
      </c>
      <c r="H60" s="59">
        <f t="shared" si="0"/>
        <v>2019</v>
      </c>
      <c r="I60" s="60" t="s">
        <v>122</v>
      </c>
      <c r="J60" s="59" t="s">
        <v>16</v>
      </c>
      <c r="K60" s="84"/>
      <c r="L60" s="2" t="s">
        <v>18</v>
      </c>
      <c r="AE60" s="2" t="str">
        <v>Infections</v>
      </c>
      <c r="AH60" s="2" t="str">
        <v>Derivation of the appropriate comparator therapy for early G-BA consultation;
Study design consultation</v>
      </c>
      <c r="AJ60" s="2" t="str">
        <v>Icosapent ethyl</v>
      </c>
    </row>
    <row r="61" spans="1:36" ht="15" thickBot="1">
      <c r="A61" s="64">
        <v>61</v>
      </c>
      <c r="B61" s="61" t="s">
        <v>118</v>
      </c>
      <c r="C61" s="61" t="s">
        <v>119</v>
      </c>
      <c r="D61" s="58" t="s">
        <v>120</v>
      </c>
      <c r="E61" s="58" t="s">
        <v>71</v>
      </c>
      <c r="F61" s="58" t="s">
        <v>129</v>
      </c>
      <c r="G61" s="61">
        <v>2019</v>
      </c>
      <c r="H61" s="61">
        <f t="shared" si="0"/>
        <v>2019</v>
      </c>
      <c r="I61" s="58" t="s">
        <v>122</v>
      </c>
      <c r="J61" s="61" t="s">
        <v>16</v>
      </c>
      <c r="K61" s="85"/>
      <c r="L61" s="2" t="s">
        <v>18</v>
      </c>
      <c r="AE61" s="2" t="str">
        <v>Ocular health</v>
      </c>
      <c r="AH61" s="2" t="str">
        <v>Full AMNOG dossier</v>
      </c>
      <c r="AJ61" s="2" t="str">
        <v xml:space="preserve">Sotorasib </v>
      </c>
    </row>
    <row r="62" spans="1:36" ht="15" thickBot="1">
      <c r="A62" s="63">
        <v>62</v>
      </c>
      <c r="B62" s="59" t="s">
        <v>118</v>
      </c>
      <c r="C62" s="59" t="s">
        <v>119</v>
      </c>
      <c r="D62" s="60" t="s">
        <v>120</v>
      </c>
      <c r="E62" s="60" t="s">
        <v>60</v>
      </c>
      <c r="F62" s="60" t="s">
        <v>130</v>
      </c>
      <c r="G62" s="59">
        <v>2018</v>
      </c>
      <c r="H62" s="59">
        <f t="shared" si="0"/>
        <v>2018</v>
      </c>
      <c r="I62" s="60" t="s">
        <v>122</v>
      </c>
      <c r="J62" s="59" t="s">
        <v>16</v>
      </c>
      <c r="K62" s="84"/>
      <c r="L62" s="2" t="s">
        <v>18</v>
      </c>
      <c r="AE62" s="2" t="str">
        <v>Cancer (2 indications)</v>
      </c>
      <c r="AH62" s="2" t="str">
        <v>Development of pricing and reimbursement strategy
Health Technology Assessment (HTA) dossier Netherlands</v>
      </c>
      <c r="AJ62" s="2" t="str">
        <v>AMG 330</v>
      </c>
    </row>
    <row r="63" spans="1:36" ht="15" thickBot="1">
      <c r="A63" s="64">
        <v>63</v>
      </c>
      <c r="B63" s="61" t="s">
        <v>118</v>
      </c>
      <c r="C63" s="61" t="s">
        <v>119</v>
      </c>
      <c r="D63" s="58" t="s">
        <v>120</v>
      </c>
      <c r="E63" s="58" t="s">
        <v>13</v>
      </c>
      <c r="F63" s="58" t="s">
        <v>74</v>
      </c>
      <c r="G63" s="61">
        <v>2018</v>
      </c>
      <c r="H63" s="61">
        <f t="shared" si="0"/>
        <v>2018</v>
      </c>
      <c r="I63" s="58" t="s">
        <v>121</v>
      </c>
      <c r="J63" s="61" t="s">
        <v>65</v>
      </c>
      <c r="K63" s="85" t="s">
        <v>17</v>
      </c>
      <c r="L63" s="2" t="s">
        <v>18</v>
      </c>
      <c r="AE63" s="2" t="str">
        <v>Pulmonary hypertension</v>
      </c>
      <c r="AH63" s="2" t="str">
        <v>Health economic evaluation
Evaluation of avoidable treatment costs of cardiovascular events.</v>
      </c>
      <c r="AJ63" s="2" t="str">
        <v>CAR T</v>
      </c>
    </row>
    <row r="64" spans="1:36" ht="15" thickBot="1">
      <c r="A64" s="63">
        <v>64</v>
      </c>
      <c r="B64" s="59" t="s">
        <v>118</v>
      </c>
      <c r="C64" s="59" t="s">
        <v>119</v>
      </c>
      <c r="D64" s="60" t="s">
        <v>120</v>
      </c>
      <c r="E64" s="60" t="s">
        <v>131</v>
      </c>
      <c r="F64" s="60" t="s">
        <v>132</v>
      </c>
      <c r="G64" s="59">
        <v>2017</v>
      </c>
      <c r="H64" s="59">
        <f t="shared" si="0"/>
        <v>2017</v>
      </c>
      <c r="I64" s="60" t="s">
        <v>133</v>
      </c>
      <c r="J64" s="59" t="s">
        <v>43</v>
      </c>
      <c r="K64" s="84"/>
      <c r="L64" s="2" t="s">
        <v>18</v>
      </c>
      <c r="AE64" s="2" t="str">
        <v>LDL cholesterol reducer</v>
      </c>
      <c r="AH64" s="2" t="str">
        <v xml:space="preserve">AMNOG Dossier resubmission </v>
      </c>
      <c r="AJ64" s="2" t="str">
        <v>Lenvima plus Everolimus</v>
      </c>
    </row>
    <row r="65" spans="1:36" ht="15" thickBot="1">
      <c r="A65" s="64">
        <v>65</v>
      </c>
      <c r="B65" s="61" t="s">
        <v>118</v>
      </c>
      <c r="C65" s="61" t="s">
        <v>119</v>
      </c>
      <c r="D65" s="58" t="s">
        <v>120</v>
      </c>
      <c r="E65" s="58" t="s">
        <v>13</v>
      </c>
      <c r="F65" s="58" t="s">
        <v>134</v>
      </c>
      <c r="G65" s="61">
        <v>2016</v>
      </c>
      <c r="H65" s="61">
        <f t="shared" si="0"/>
        <v>2016</v>
      </c>
      <c r="I65" s="58" t="s">
        <v>135</v>
      </c>
      <c r="J65" s="61" t="s">
        <v>43</v>
      </c>
      <c r="K65" s="85"/>
      <c r="L65" s="2" t="s">
        <v>18</v>
      </c>
      <c r="AE65" s="2" t="str">
        <v>Acute B-cell lymphoblastic leukemia</v>
      </c>
      <c r="AH65" s="2" t="str">
        <v>Parts of AMNOG dossier</v>
      </c>
      <c r="AJ65" s="2" t="str">
        <v>Lenvatinib plus Pembrolizumab</v>
      </c>
    </row>
    <row r="66" spans="1:36" ht="16.8" thickBot="1">
      <c r="A66" s="63">
        <v>66</v>
      </c>
      <c r="B66" s="59" t="s">
        <v>118</v>
      </c>
      <c r="C66" s="59" t="s">
        <v>119</v>
      </c>
      <c r="D66" s="60" t="s">
        <v>120</v>
      </c>
      <c r="E66" s="60" t="s">
        <v>13</v>
      </c>
      <c r="F66" s="60" t="s">
        <v>136</v>
      </c>
      <c r="G66" s="59">
        <v>2015</v>
      </c>
      <c r="H66" s="59">
        <f t="shared" si="0"/>
        <v>2015</v>
      </c>
      <c r="I66" s="60" t="s">
        <v>137</v>
      </c>
      <c r="J66" s="59" t="s">
        <v>43</v>
      </c>
      <c r="K66" s="84"/>
      <c r="L66" s="2" t="s">
        <v>18</v>
      </c>
      <c r="AE66" s="2" t="str">
        <v>Treatment and prophylaxis of venous thrombosis and pulmonary embolism</v>
      </c>
      <c r="AH66" s="2">
        <v>0</v>
      </c>
      <c r="AJ66" s="2" t="str">
        <v>Lumoxiti</v>
      </c>
    </row>
    <row r="67" spans="1:36" ht="15" thickBot="1">
      <c r="A67" s="64">
        <v>67</v>
      </c>
      <c r="B67" s="61" t="s">
        <v>118</v>
      </c>
      <c r="C67" s="61" t="s">
        <v>119</v>
      </c>
      <c r="D67" s="58" t="s">
        <v>120</v>
      </c>
      <c r="E67" s="58" t="s">
        <v>13</v>
      </c>
      <c r="F67" s="58" t="s">
        <v>91</v>
      </c>
      <c r="G67" s="61">
        <v>2015</v>
      </c>
      <c r="H67" s="61">
        <f t="shared" si="0"/>
        <v>2015</v>
      </c>
      <c r="I67" s="58" t="s">
        <v>138</v>
      </c>
      <c r="J67" s="61" t="s">
        <v>43</v>
      </c>
      <c r="K67" s="85"/>
      <c r="L67" s="2" t="s">
        <v>18</v>
      </c>
      <c r="AE67" s="2" t="str">
        <v>Non-Small Cell Lung Cancer</v>
      </c>
      <c r="AH67" s="2" t="str">
        <v>Strategic consulting</v>
      </c>
      <c r="AJ67" s="2" t="str">
        <v>Cabozantinib-Nivolumab</v>
      </c>
    </row>
    <row r="68" spans="1:36" ht="15" thickBot="1">
      <c r="A68" s="63">
        <v>68</v>
      </c>
      <c r="B68" s="59" t="s">
        <v>118</v>
      </c>
      <c r="C68" s="59" t="s">
        <v>119</v>
      </c>
      <c r="D68" s="60" t="s">
        <v>120</v>
      </c>
      <c r="E68" s="60" t="s">
        <v>60</v>
      </c>
      <c r="F68" s="60" t="s">
        <v>127</v>
      </c>
      <c r="G68" s="59">
        <v>2015</v>
      </c>
      <c r="H68" s="59">
        <f t="shared" ref="H68:H131" si="1">G68</f>
        <v>2015</v>
      </c>
      <c r="I68" s="60" t="s">
        <v>138</v>
      </c>
      <c r="J68" s="59" t="s">
        <v>43</v>
      </c>
      <c r="K68" s="84"/>
      <c r="L68" s="2" t="s">
        <v>18</v>
      </c>
      <c r="AE68" s="2" t="str">
        <v>Epilepsy</v>
      </c>
      <c r="AH68" s="2" t="str">
        <v>Early G-BA advice</v>
      </c>
      <c r="AJ68" s="2" t="str">
        <v>Depression</v>
      </c>
    </row>
    <row r="69" spans="1:36" ht="15" thickBot="1">
      <c r="A69" s="64">
        <v>69</v>
      </c>
      <c r="B69" s="61" t="s">
        <v>118</v>
      </c>
      <c r="C69" s="61" t="s">
        <v>119</v>
      </c>
      <c r="D69" s="58" t="s">
        <v>120</v>
      </c>
      <c r="E69" s="58" t="s">
        <v>60</v>
      </c>
      <c r="F69" s="58" t="s">
        <v>127</v>
      </c>
      <c r="G69" s="61">
        <v>2015</v>
      </c>
      <c r="H69" s="61">
        <f t="shared" si="1"/>
        <v>2015</v>
      </c>
      <c r="I69" s="58" t="s">
        <v>98</v>
      </c>
      <c r="J69" s="61" t="s">
        <v>43</v>
      </c>
      <c r="K69" s="85"/>
      <c r="L69" s="2" t="s">
        <v>18</v>
      </c>
      <c r="AE69" s="2" t="str">
        <v>Type-2-Diabetes</v>
      </c>
      <c r="AH69" s="2" t="str">
        <v>Systematic Literature- and study registry search and Delphi Panel</v>
      </c>
      <c r="AJ69" s="2" t="str">
        <v>Ponesimod</v>
      </c>
    </row>
    <row r="70" spans="1:36" ht="15" thickBot="1">
      <c r="A70" s="63">
        <v>70</v>
      </c>
      <c r="B70" s="59" t="s">
        <v>118</v>
      </c>
      <c r="C70" s="59" t="s">
        <v>119</v>
      </c>
      <c r="D70" s="60" t="s">
        <v>120</v>
      </c>
      <c r="E70" s="60" t="s">
        <v>131</v>
      </c>
      <c r="F70" s="60" t="s">
        <v>132</v>
      </c>
      <c r="G70" s="59">
        <v>2015</v>
      </c>
      <c r="H70" s="59">
        <f t="shared" si="1"/>
        <v>2015</v>
      </c>
      <c r="I70" s="60" t="s">
        <v>139</v>
      </c>
      <c r="J70" s="59" t="s">
        <v>43</v>
      </c>
      <c r="K70" s="84"/>
      <c r="L70" s="2" t="s">
        <v>18</v>
      </c>
      <c r="AE70" s="2" t="str">
        <v>Multiple myoloma</v>
      </c>
      <c r="AH70" s="2" t="str">
        <v>G-BA advice</v>
      </c>
      <c r="AJ70" s="2" t="str">
        <v>Tralokinumab</v>
      </c>
    </row>
    <row r="71" spans="1:36" ht="15" thickBot="1">
      <c r="A71" s="64">
        <v>71</v>
      </c>
      <c r="B71" s="61" t="s">
        <v>118</v>
      </c>
      <c r="C71" s="61" t="s">
        <v>119</v>
      </c>
      <c r="D71" s="58" t="s">
        <v>120</v>
      </c>
      <c r="E71" s="58" t="s">
        <v>86</v>
      </c>
      <c r="F71" s="58" t="s">
        <v>140</v>
      </c>
      <c r="G71" s="61">
        <v>2015</v>
      </c>
      <c r="H71" s="61">
        <f t="shared" si="1"/>
        <v>2015</v>
      </c>
      <c r="I71" s="58" t="s">
        <v>141</v>
      </c>
      <c r="J71" s="61" t="s">
        <v>43</v>
      </c>
      <c r="K71" s="85"/>
      <c r="L71" s="2" t="s">
        <v>18</v>
      </c>
      <c r="AE71" s="2" t="str">
        <v>Breast cancer</v>
      </c>
      <c r="AH71" s="2" t="str">
        <v>Derivation of the appropriate comparator therapy for early G-BA consultation</v>
      </c>
      <c r="AJ71" s="2" t="str">
        <v>Cladribin</v>
      </c>
    </row>
    <row r="72" spans="1:36" ht="15" thickBot="1">
      <c r="A72" s="63">
        <v>72</v>
      </c>
      <c r="B72" s="59" t="s">
        <v>118</v>
      </c>
      <c r="C72" s="59" t="s">
        <v>119</v>
      </c>
      <c r="D72" s="60" t="s">
        <v>120</v>
      </c>
      <c r="E72" s="60" t="s">
        <v>13</v>
      </c>
      <c r="F72" s="60" t="s">
        <v>102</v>
      </c>
      <c r="G72" s="59">
        <v>2015</v>
      </c>
      <c r="H72" s="59">
        <f t="shared" si="1"/>
        <v>2015</v>
      </c>
      <c r="I72" s="60" t="s">
        <v>121</v>
      </c>
      <c r="J72" s="59" t="s">
        <v>43</v>
      </c>
      <c r="K72" s="84" t="s">
        <v>17</v>
      </c>
      <c r="L72" s="2" t="s">
        <v>18</v>
      </c>
      <c r="AE72" s="2" t="str">
        <v>Alpha-Mannosidose</v>
      </c>
      <c r="AH72" s="2" t="str">
        <v>Network meta-analysis (NMA) of seven active ingredients
Analysis of weak points of the NMA
Publication of the results
Statement on IQWiG's NMA</v>
      </c>
      <c r="AJ72" s="2" t="str">
        <v>Luxturna</v>
      </c>
    </row>
    <row r="73" spans="1:36" ht="15" thickBot="1">
      <c r="A73" s="64">
        <v>73</v>
      </c>
      <c r="B73" s="61" t="s">
        <v>118</v>
      </c>
      <c r="C73" s="61" t="s">
        <v>119</v>
      </c>
      <c r="D73" s="58" t="s">
        <v>120</v>
      </c>
      <c r="E73" s="58" t="s">
        <v>76</v>
      </c>
      <c r="F73" s="58" t="s">
        <v>142</v>
      </c>
      <c r="G73" s="61">
        <v>2015</v>
      </c>
      <c r="H73" s="61">
        <f t="shared" si="1"/>
        <v>2015</v>
      </c>
      <c r="I73" s="58" t="s">
        <v>143</v>
      </c>
      <c r="J73" s="61" t="s">
        <v>65</v>
      </c>
      <c r="K73" s="85" t="s">
        <v>144</v>
      </c>
      <c r="L73" s="2" t="s">
        <v>18</v>
      </c>
      <c r="AE73" s="2" t="str">
        <v>Hemophilia B</v>
      </c>
      <c r="AH73" s="2" t="str">
        <v xml:space="preserve">Horizon scanning 
Best-practice-derived recommendations </v>
      </c>
      <c r="AJ73" s="2" t="str">
        <v>Elranatamab</v>
      </c>
    </row>
    <row r="74" spans="1:36" ht="15" thickBot="1">
      <c r="A74" s="63">
        <v>74</v>
      </c>
      <c r="B74" s="59" t="s">
        <v>118</v>
      </c>
      <c r="C74" s="59" t="s">
        <v>119</v>
      </c>
      <c r="D74" s="60" t="s">
        <v>120</v>
      </c>
      <c r="E74" s="60" t="s">
        <v>76</v>
      </c>
      <c r="F74" s="60" t="s">
        <v>145</v>
      </c>
      <c r="G74" s="59">
        <v>2015</v>
      </c>
      <c r="H74" s="59">
        <f t="shared" si="1"/>
        <v>2015</v>
      </c>
      <c r="I74" s="60" t="s">
        <v>146</v>
      </c>
      <c r="J74" s="59" t="s">
        <v>43</v>
      </c>
      <c r="K74" s="84" t="s">
        <v>147</v>
      </c>
      <c r="L74" s="2" t="s">
        <v>18</v>
      </c>
      <c r="AE74" s="2" t="str">
        <v>non-metastatic castration-resistant prostate cancer</v>
      </c>
      <c r="AH74" s="2" t="str">
        <v>Comprehensive overview of HTA processes 
Identification of hurdles and success factors
Best-practice-derived recommendations</v>
      </c>
      <c r="AJ74" s="2" t="str">
        <v>Cemiplimab</v>
      </c>
    </row>
    <row r="75" spans="1:36" ht="15" thickBot="1">
      <c r="A75" s="64">
        <v>75</v>
      </c>
      <c r="B75" s="61" t="s">
        <v>118</v>
      </c>
      <c r="C75" s="61" t="s">
        <v>119</v>
      </c>
      <c r="D75" s="58" t="s">
        <v>120</v>
      </c>
      <c r="E75" s="58" t="s">
        <v>13</v>
      </c>
      <c r="F75" s="58" t="s">
        <v>109</v>
      </c>
      <c r="G75" s="61">
        <v>2013</v>
      </c>
      <c r="H75" s="61">
        <f t="shared" si="1"/>
        <v>2013</v>
      </c>
      <c r="I75" s="58" t="s">
        <v>121</v>
      </c>
      <c r="J75" s="61" t="s">
        <v>43</v>
      </c>
      <c r="K75" s="85" t="s">
        <v>17</v>
      </c>
      <c r="L75" s="2" t="s">
        <v>18</v>
      </c>
      <c r="AE75" s="2" t="str">
        <v>Sleep disorders</v>
      </c>
      <c r="AH75" s="2" t="str">
        <v>Pricing and reimbursment</v>
      </c>
      <c r="AJ75" s="2" t="str">
        <v>Olipudase Alfa</v>
      </c>
    </row>
    <row r="76" spans="1:36" ht="15" thickBot="1">
      <c r="A76" s="63">
        <v>76</v>
      </c>
      <c r="B76" s="59" t="s">
        <v>118</v>
      </c>
      <c r="C76" s="59" t="s">
        <v>119</v>
      </c>
      <c r="D76" s="60" t="s">
        <v>120</v>
      </c>
      <c r="E76" s="60" t="s">
        <v>60</v>
      </c>
      <c r="F76" s="60" t="s">
        <v>37</v>
      </c>
      <c r="G76" s="59">
        <v>2012</v>
      </c>
      <c r="H76" s="59">
        <f t="shared" si="1"/>
        <v>2012</v>
      </c>
      <c r="I76" s="60" t="s">
        <v>121</v>
      </c>
      <c r="J76" s="59" t="s">
        <v>43</v>
      </c>
      <c r="K76" s="84" t="s">
        <v>114</v>
      </c>
      <c r="L76" s="2" t="s">
        <v>18</v>
      </c>
      <c r="AE76" s="2" t="str">
        <v>Non-hyperkeratotic, non-hypertrophic actinic keratoses</v>
      </c>
      <c r="AH76" s="2" t="str">
        <v>BIM</v>
      </c>
      <c r="AJ76" s="2" t="str">
        <v>Levofloxacin</v>
      </c>
    </row>
    <row r="77" spans="1:36" ht="15" thickBot="1">
      <c r="A77" s="64">
        <v>77</v>
      </c>
      <c r="B77" s="61" t="s">
        <v>118</v>
      </c>
      <c r="C77" s="61" t="s">
        <v>119</v>
      </c>
      <c r="D77" s="58" t="s">
        <v>120</v>
      </c>
      <c r="E77" s="58" t="s">
        <v>76</v>
      </c>
      <c r="F77" s="58" t="s">
        <v>148</v>
      </c>
      <c r="G77" s="61">
        <v>2012</v>
      </c>
      <c r="H77" s="61">
        <f t="shared" si="1"/>
        <v>2012</v>
      </c>
      <c r="I77" s="58" t="s">
        <v>146</v>
      </c>
      <c r="J77" s="61" t="s">
        <v>43</v>
      </c>
      <c r="K77" s="85" t="s">
        <v>149</v>
      </c>
      <c r="L77" s="2" t="s">
        <v>18</v>
      </c>
      <c r="AE77" s="2" t="str">
        <v>ALL and DLBCL</v>
      </c>
      <c r="AH77" s="2" t="str">
        <v>DV</v>
      </c>
      <c r="AJ77" s="2" t="str">
        <v>Levantinib plus pembrolizumab</v>
      </c>
    </row>
    <row r="78" spans="1:36" ht="15" thickBot="1">
      <c r="A78" s="63">
        <v>78</v>
      </c>
      <c r="B78" s="59" t="s">
        <v>118</v>
      </c>
      <c r="C78" s="59" t="s">
        <v>119</v>
      </c>
      <c r="D78" s="60" t="s">
        <v>120</v>
      </c>
      <c r="E78" s="60" t="s">
        <v>36</v>
      </c>
      <c r="F78" s="60" t="s">
        <v>37</v>
      </c>
      <c r="G78" s="59">
        <v>2020</v>
      </c>
      <c r="H78" s="59">
        <f t="shared" si="1"/>
        <v>2020</v>
      </c>
      <c r="I78" s="60" t="s">
        <v>150</v>
      </c>
      <c r="J78" s="59" t="s">
        <v>39</v>
      </c>
      <c r="K78" s="84" t="s">
        <v>40</v>
      </c>
      <c r="L78" s="2" t="s">
        <v>18</v>
      </c>
      <c r="AE78" s="2" t="str">
        <v>Opioid-induced constipation</v>
      </c>
      <c r="AH78" s="2" t="str">
        <v>DV, BIM</v>
      </c>
      <c r="AJ78" s="2" t="str">
        <v>Cabozantinib in Combination with Atezolizumab</v>
      </c>
    </row>
    <row r="79" spans="1:36">
      <c r="A79" s="64">
        <v>79</v>
      </c>
      <c r="B79" s="61" t="s">
        <v>151</v>
      </c>
      <c r="C79" s="61" t="s">
        <v>152</v>
      </c>
      <c r="D79" s="58" t="s">
        <v>120</v>
      </c>
      <c r="E79" s="58" t="s">
        <v>60</v>
      </c>
      <c r="F79" s="58" t="s">
        <v>127</v>
      </c>
      <c r="G79" s="61">
        <v>2019</v>
      </c>
      <c r="H79" s="61">
        <f t="shared" si="1"/>
        <v>2019</v>
      </c>
      <c r="I79" s="58" t="s">
        <v>153</v>
      </c>
      <c r="J79" s="61" t="s">
        <v>16</v>
      </c>
      <c r="K79" s="85"/>
      <c r="L79" s="2" t="s">
        <v>18</v>
      </c>
      <c r="AE79" s="2" t="str">
        <v>VWF</v>
      </c>
      <c r="AH79" s="2" t="str">
        <v>Burden of disease economic model</v>
      </c>
      <c r="AJ79" s="2" t="str">
        <v>MK-7110</v>
      </c>
    </row>
    <row r="80" spans="1:36">
      <c r="A80" s="63">
        <v>80</v>
      </c>
      <c r="B80" s="59" t="s">
        <v>151</v>
      </c>
      <c r="C80" s="59" t="s">
        <v>152</v>
      </c>
      <c r="D80" s="60" t="s">
        <v>120</v>
      </c>
      <c r="E80" s="60" t="s">
        <v>13</v>
      </c>
      <c r="F80" s="60" t="s">
        <v>154</v>
      </c>
      <c r="G80" s="59">
        <v>2018</v>
      </c>
      <c r="H80" s="59">
        <f t="shared" si="1"/>
        <v>2018</v>
      </c>
      <c r="I80" s="60" t="s">
        <v>155</v>
      </c>
      <c r="J80" s="59" t="s">
        <v>43</v>
      </c>
      <c r="K80" s="84"/>
      <c r="L80" s="2" t="s">
        <v>18</v>
      </c>
      <c r="AE80" s="2" t="str">
        <v>Other</v>
      </c>
      <c r="AH80" s="2" t="str">
        <v>DV, BIM, CEM</v>
      </c>
      <c r="AJ80" s="2" t="str">
        <v>Molnupiravir</v>
      </c>
    </row>
    <row r="81" spans="1:36">
      <c r="A81" s="64">
        <v>81</v>
      </c>
      <c r="B81" s="61" t="s">
        <v>151</v>
      </c>
      <c r="C81" s="61" t="s">
        <v>152</v>
      </c>
      <c r="D81" s="58" t="s">
        <v>120</v>
      </c>
      <c r="E81" s="58" t="s">
        <v>131</v>
      </c>
      <c r="F81" s="58" t="s">
        <v>132</v>
      </c>
      <c r="G81" s="61">
        <v>2018</v>
      </c>
      <c r="H81" s="61">
        <f t="shared" si="1"/>
        <v>2018</v>
      </c>
      <c r="I81" s="58" t="s">
        <v>156</v>
      </c>
      <c r="J81" s="61" t="s">
        <v>43</v>
      </c>
      <c r="K81" s="85"/>
      <c r="L81" s="2" t="s">
        <v>18</v>
      </c>
      <c r="AE81" s="2" t="str">
        <v xml:space="preserve">Acute Lymphoblastic Leukemia </v>
      </c>
      <c r="AH81" s="2" t="str">
        <v>CEM, BIM</v>
      </c>
      <c r="AJ81" s="2" t="str">
        <v>Zepatier</v>
      </c>
    </row>
    <row r="82" spans="1:36">
      <c r="A82" s="63">
        <v>82</v>
      </c>
      <c r="B82" s="59" t="s">
        <v>151</v>
      </c>
      <c r="C82" s="59" t="s">
        <v>152</v>
      </c>
      <c r="D82" s="60" t="s">
        <v>120</v>
      </c>
      <c r="E82" s="60" t="s">
        <v>60</v>
      </c>
      <c r="F82" s="60" t="s">
        <v>127</v>
      </c>
      <c r="G82" s="59">
        <v>2016</v>
      </c>
      <c r="H82" s="59">
        <f t="shared" si="1"/>
        <v>2016</v>
      </c>
      <c r="I82" s="60" t="s">
        <v>157</v>
      </c>
      <c r="J82" s="59" t="s">
        <v>43</v>
      </c>
      <c r="K82" s="84"/>
      <c r="L82" s="2" t="s">
        <v>18</v>
      </c>
      <c r="AE82" s="2" t="str">
        <v>Relapsed and refractory multiple myeloma</v>
      </c>
      <c r="AH82" s="2" t="str">
        <v>VD</v>
      </c>
      <c r="AJ82" s="2" t="str">
        <v>Rovi</v>
      </c>
    </row>
    <row r="83" spans="1:36">
      <c r="A83" s="64">
        <v>83</v>
      </c>
      <c r="B83" s="61" t="s">
        <v>151</v>
      </c>
      <c r="C83" s="61" t="s">
        <v>152</v>
      </c>
      <c r="D83" s="58" t="s">
        <v>120</v>
      </c>
      <c r="E83" s="58" t="s">
        <v>76</v>
      </c>
      <c r="F83" s="58" t="s">
        <v>148</v>
      </c>
      <c r="G83" s="61">
        <v>2015</v>
      </c>
      <c r="H83" s="61">
        <f t="shared" si="1"/>
        <v>2015</v>
      </c>
      <c r="I83" s="58" t="s">
        <v>158</v>
      </c>
      <c r="J83" s="61" t="s">
        <v>43</v>
      </c>
      <c r="K83" s="85"/>
      <c r="L83" s="2" t="s">
        <v>18</v>
      </c>
      <c r="AE83" s="2" t="str">
        <v>CAR-T cell therapy</v>
      </c>
      <c r="AH83" s="2" t="str">
        <v>Pricing stategy and position dosier</v>
      </c>
      <c r="AJ83" s="2" t="str">
        <v>Ibalizumab</v>
      </c>
    </row>
    <row r="84" spans="1:36">
      <c r="A84" s="63">
        <v>84</v>
      </c>
      <c r="B84" s="59" t="s">
        <v>151</v>
      </c>
      <c r="C84" s="59" t="s">
        <v>152</v>
      </c>
      <c r="D84" s="60" t="s">
        <v>120</v>
      </c>
      <c r="E84" s="60" t="s">
        <v>32</v>
      </c>
      <c r="F84" s="60" t="s">
        <v>159</v>
      </c>
      <c r="G84" s="59">
        <v>2013</v>
      </c>
      <c r="H84" s="59">
        <f t="shared" si="1"/>
        <v>2013</v>
      </c>
      <c r="I84" s="60" t="s">
        <v>157</v>
      </c>
      <c r="J84" s="59" t="s">
        <v>43</v>
      </c>
      <c r="K84" s="84"/>
      <c r="L84" s="2" t="s">
        <v>18</v>
      </c>
      <c r="AE84" s="2" t="str">
        <v>Renal cell carcinoma (2L)</v>
      </c>
      <c r="AH84" s="2" t="str">
        <v>Economic model</v>
      </c>
      <c r="AJ84" s="2" t="str">
        <v>Symkevi®</v>
      </c>
    </row>
    <row r="85" spans="1:36">
      <c r="A85" s="64">
        <v>85</v>
      </c>
      <c r="B85" s="61" t="s">
        <v>160</v>
      </c>
      <c r="C85" s="61" t="s">
        <v>161</v>
      </c>
      <c r="D85" s="58" t="s">
        <v>120</v>
      </c>
      <c r="E85" s="58" t="s">
        <v>13</v>
      </c>
      <c r="F85" s="58" t="s">
        <v>162</v>
      </c>
      <c r="G85" s="61">
        <v>2021</v>
      </c>
      <c r="H85" s="61">
        <f t="shared" si="1"/>
        <v>2021</v>
      </c>
      <c r="I85" s="58" t="s">
        <v>15</v>
      </c>
      <c r="J85" s="61" t="s">
        <v>16</v>
      </c>
      <c r="K85" s="85" t="s">
        <v>163</v>
      </c>
      <c r="L85" s="2" t="s">
        <v>18</v>
      </c>
      <c r="AE85" s="2" t="str">
        <v>Medullary thyroid carcinoma</v>
      </c>
      <c r="AH85" s="2" t="str">
        <v>Core Diabetes Model</v>
      </c>
      <c r="AJ85" s="2" t="str">
        <v>Tysabri®</v>
      </c>
    </row>
    <row r="86" spans="1:36">
      <c r="A86" s="63">
        <v>86</v>
      </c>
      <c r="B86" s="59" t="s">
        <v>160</v>
      </c>
      <c r="C86" s="59" t="s">
        <v>161</v>
      </c>
      <c r="D86" s="60" t="s">
        <v>120</v>
      </c>
      <c r="E86" s="60" t="s">
        <v>13</v>
      </c>
      <c r="F86" s="60" t="s">
        <v>19</v>
      </c>
      <c r="G86" s="59">
        <v>2021</v>
      </c>
      <c r="H86" s="59">
        <f t="shared" si="1"/>
        <v>2021</v>
      </c>
      <c r="I86" s="60" t="s">
        <v>164</v>
      </c>
      <c r="J86" s="59" t="s">
        <v>16</v>
      </c>
      <c r="K86" s="84" t="s">
        <v>163</v>
      </c>
      <c r="L86" s="2" t="s">
        <v>18</v>
      </c>
      <c r="AE86" s="2" t="str">
        <v>Fibrodysplasia ossificans progressiva</v>
      </c>
      <c r="AH86" s="2" t="str">
        <v>P&amp;R Dossier Development</v>
      </c>
      <c r="AJ86" s="2" t="str">
        <v>Natpar</v>
      </c>
    </row>
    <row r="87" spans="1:36">
      <c r="A87" s="64">
        <v>87</v>
      </c>
      <c r="B87" s="61" t="s">
        <v>160</v>
      </c>
      <c r="C87" s="61" t="s">
        <v>161</v>
      </c>
      <c r="D87" s="58" t="s">
        <v>120</v>
      </c>
      <c r="E87" s="58" t="s">
        <v>21</v>
      </c>
      <c r="F87" s="58" t="s">
        <v>22</v>
      </c>
      <c r="G87" s="61">
        <v>2021</v>
      </c>
      <c r="H87" s="61">
        <f t="shared" si="1"/>
        <v>2021</v>
      </c>
      <c r="I87" s="58" t="s">
        <v>15</v>
      </c>
      <c r="J87" s="61" t="s">
        <v>16</v>
      </c>
      <c r="K87" s="85" t="s">
        <v>23</v>
      </c>
      <c r="L87" s="2" t="s">
        <v>18</v>
      </c>
      <c r="AE87" s="2" t="str">
        <v>Follicular lymphoma (1L)</v>
      </c>
      <c r="AH87" s="2" t="str">
        <v>P&amp;R Dossier Development
Pharmacoeconomics Models Adaptation</v>
      </c>
      <c r="AJ87" s="2" t="str">
        <v>Enhertu®</v>
      </c>
    </row>
    <row r="88" spans="1:36">
      <c r="A88" s="63">
        <v>88</v>
      </c>
      <c r="B88" s="59" t="s">
        <v>160</v>
      </c>
      <c r="C88" s="59" t="s">
        <v>161</v>
      </c>
      <c r="D88" s="60" t="s">
        <v>120</v>
      </c>
      <c r="E88" s="60" t="s">
        <v>165</v>
      </c>
      <c r="F88" s="60" t="s">
        <v>25</v>
      </c>
      <c r="G88" s="59">
        <v>2021</v>
      </c>
      <c r="H88" s="59">
        <f t="shared" si="1"/>
        <v>2021</v>
      </c>
      <c r="I88" s="60" t="s">
        <v>166</v>
      </c>
      <c r="J88" s="59" t="s">
        <v>85</v>
      </c>
      <c r="K88" s="84" t="s">
        <v>26</v>
      </c>
      <c r="L88" s="2" t="s">
        <v>18</v>
      </c>
      <c r="AE88" s="2" t="str">
        <v>Chronic lymphocytic leukemia</v>
      </c>
      <c r="AH88" s="2" t="str">
        <v>P&amp;R Dossier Development
Support with AIFA negotiation</v>
      </c>
      <c r="AJ88" s="2" t="str">
        <v xml:space="preserve">PLASMA EXCHANGE WITH ALBUMIN </v>
      </c>
    </row>
    <row r="89" spans="1:36">
      <c r="A89" s="64">
        <v>89</v>
      </c>
      <c r="B89" s="61" t="s">
        <v>160</v>
      </c>
      <c r="C89" s="61" t="s">
        <v>161</v>
      </c>
      <c r="D89" s="58" t="s">
        <v>120</v>
      </c>
      <c r="E89" s="58" t="s">
        <v>41</v>
      </c>
      <c r="F89" s="58" t="s">
        <v>167</v>
      </c>
      <c r="G89" s="61">
        <v>2020</v>
      </c>
      <c r="H89" s="61">
        <f t="shared" si="1"/>
        <v>2020</v>
      </c>
      <c r="I89" s="58" t="s">
        <v>166</v>
      </c>
      <c r="J89" s="61" t="s">
        <v>43</v>
      </c>
      <c r="K89" s="85" t="s">
        <v>26</v>
      </c>
      <c r="L89" s="2" t="s">
        <v>18</v>
      </c>
      <c r="AE89" s="2" t="str">
        <v>Refractory follicular lymphoma</v>
      </c>
      <c r="AH89" s="2" t="str">
        <v>P&amp;R Dossier Development
Pharmacoeconomics Models Adaptation
Innovativeness request</v>
      </c>
      <c r="AJ89" s="2" t="str">
        <v>Budget impact of NACOs reimbursment in DVT and EP</v>
      </c>
    </row>
    <row r="90" spans="1:36">
      <c r="A90" s="63">
        <v>90</v>
      </c>
      <c r="B90" s="59" t="s">
        <v>160</v>
      </c>
      <c r="C90" s="59" t="s">
        <v>161</v>
      </c>
      <c r="D90" s="60" t="s">
        <v>120</v>
      </c>
      <c r="E90" s="60" t="s">
        <v>41</v>
      </c>
      <c r="F90" s="60" t="s">
        <v>167</v>
      </c>
      <c r="G90" s="59">
        <v>2019</v>
      </c>
      <c r="H90" s="59">
        <f t="shared" si="1"/>
        <v>2019</v>
      </c>
      <c r="I90" s="60" t="s">
        <v>166</v>
      </c>
      <c r="J90" s="59" t="s">
        <v>16</v>
      </c>
      <c r="K90" s="84"/>
      <c r="L90" s="2" t="s">
        <v>18</v>
      </c>
      <c r="AE90" s="2" t="str">
        <v>Multiple myeloma (3L)</v>
      </c>
      <c r="AH90" s="2" t="str">
        <v>Pharmacoeconomics Models Adaptation</v>
      </c>
      <c r="AJ90" s="2" t="str">
        <v xml:space="preserve">Risperidone ISM® </v>
      </c>
    </row>
    <row r="91" spans="1:36">
      <c r="A91" s="64">
        <v>91</v>
      </c>
      <c r="B91" s="61" t="s">
        <v>160</v>
      </c>
      <c r="C91" s="61" t="s">
        <v>161</v>
      </c>
      <c r="D91" s="58" t="s">
        <v>120</v>
      </c>
      <c r="E91" s="58" t="s">
        <v>71</v>
      </c>
      <c r="F91" s="58" t="s">
        <v>129</v>
      </c>
      <c r="G91" s="61">
        <v>2019</v>
      </c>
      <c r="H91" s="61">
        <f t="shared" si="1"/>
        <v>2019</v>
      </c>
      <c r="I91" s="58" t="s">
        <v>166</v>
      </c>
      <c r="J91" s="61" t="s">
        <v>168</v>
      </c>
      <c r="K91" s="85" t="s">
        <v>169</v>
      </c>
      <c r="L91" s="2" t="s">
        <v>18</v>
      </c>
      <c r="AE91" s="2" t="str">
        <v>Antibiotics</v>
      </c>
      <c r="AH91" s="2" t="str">
        <v>Pharmacoeconomics Models Adaptation
Innovativeness request</v>
      </c>
      <c r="AJ91" s="2" t="str">
        <v>Remodulin®</v>
      </c>
    </row>
    <row r="92" spans="1:36">
      <c r="A92" s="63">
        <v>92</v>
      </c>
      <c r="B92" s="59" t="s">
        <v>160</v>
      </c>
      <c r="C92" s="59" t="s">
        <v>161</v>
      </c>
      <c r="D92" s="60" t="s">
        <v>120</v>
      </c>
      <c r="E92" s="60" t="s">
        <v>13</v>
      </c>
      <c r="F92" s="60" t="s">
        <v>74</v>
      </c>
      <c r="G92" s="59">
        <v>2019</v>
      </c>
      <c r="H92" s="59">
        <f t="shared" si="1"/>
        <v>2019</v>
      </c>
      <c r="I92" s="60" t="s">
        <v>170</v>
      </c>
      <c r="J92" s="59" t="s">
        <v>16</v>
      </c>
      <c r="K92" s="84" t="s">
        <v>17</v>
      </c>
      <c r="L92" s="2" t="s">
        <v>18</v>
      </c>
      <c r="AE92" s="2" t="str">
        <v>HIV</v>
      </c>
      <c r="AH92" s="2" t="str">
        <v>P&amp;R Dossier Development
Pharmacoeconomics Models Adaptation
Innovativeness request
Support with AIFA negotiation</v>
      </c>
      <c r="AJ92" s="2" t="str">
        <v>Somazina®</v>
      </c>
    </row>
    <row r="93" spans="1:36">
      <c r="A93" s="64">
        <v>93</v>
      </c>
      <c r="B93" s="61" t="s">
        <v>160</v>
      </c>
      <c r="C93" s="61" t="s">
        <v>161</v>
      </c>
      <c r="D93" s="58" t="s">
        <v>120</v>
      </c>
      <c r="E93" s="58" t="s">
        <v>71</v>
      </c>
      <c r="F93" s="58" t="s">
        <v>129</v>
      </c>
      <c r="G93" s="61">
        <v>2020</v>
      </c>
      <c r="H93" s="61">
        <f t="shared" si="1"/>
        <v>2020</v>
      </c>
      <c r="I93" s="58" t="s">
        <v>171</v>
      </c>
      <c r="J93" s="61" t="s">
        <v>16</v>
      </c>
      <c r="K93" s="85"/>
      <c r="L93" s="2" t="s">
        <v>18</v>
      </c>
      <c r="AE93" s="2" t="str">
        <v>Risk of cardiovascular events among adults with elevated triglyceride levels</v>
      </c>
      <c r="AH93" s="2" t="str">
        <v>P&amp;R Dossier development + CEM &amp; BIM Adaptation</v>
      </c>
      <c r="AJ93" s="2" t="str">
        <v>Venclyxto®</v>
      </c>
    </row>
    <row r="94" spans="1:36">
      <c r="A94" s="63">
        <v>94</v>
      </c>
      <c r="B94" s="59" t="s">
        <v>160</v>
      </c>
      <c r="C94" s="59" t="s">
        <v>161</v>
      </c>
      <c r="D94" s="60" t="s">
        <v>120</v>
      </c>
      <c r="E94" s="60" t="s">
        <v>172</v>
      </c>
      <c r="F94" s="60" t="s">
        <v>173</v>
      </c>
      <c r="G94" s="59">
        <v>2018</v>
      </c>
      <c r="H94" s="59">
        <f t="shared" si="1"/>
        <v>2018</v>
      </c>
      <c r="I94" s="60" t="s">
        <v>171</v>
      </c>
      <c r="J94" s="59" t="s">
        <v>85</v>
      </c>
      <c r="K94" s="84"/>
      <c r="L94" s="2" t="s">
        <v>18</v>
      </c>
      <c r="AE94" s="2" t="str">
        <v xml:space="preserve"> Renal cell carcinoma (1L)</v>
      </c>
      <c r="AH94" s="2" t="str">
        <v>Literature review + Expert panel + CEM &amp; BIM adaptation + HTA application form</v>
      </c>
      <c r="AJ94" s="2" t="str">
        <v>Nilemdo®</v>
      </c>
    </row>
    <row r="95" spans="1:36">
      <c r="A95" s="64">
        <v>95</v>
      </c>
      <c r="B95" s="61" t="s">
        <v>160</v>
      </c>
      <c r="C95" s="61" t="s">
        <v>161</v>
      </c>
      <c r="D95" s="58" t="s">
        <v>120</v>
      </c>
      <c r="E95" s="58" t="s">
        <v>76</v>
      </c>
      <c r="F95" s="58" t="s">
        <v>174</v>
      </c>
      <c r="G95" s="61">
        <v>2018</v>
      </c>
      <c r="H95" s="61">
        <f t="shared" si="1"/>
        <v>2018</v>
      </c>
      <c r="I95" s="58" t="s">
        <v>166</v>
      </c>
      <c r="J95" s="61" t="s">
        <v>175</v>
      </c>
      <c r="K95" s="85"/>
      <c r="L95" s="2" t="s">
        <v>18</v>
      </c>
      <c r="AE95" s="2" t="str">
        <v>Endometrial carcinoma</v>
      </c>
      <c r="AH95" s="2" t="str">
        <v>Literature review + Expert panel + BIM development + HTA application form</v>
      </c>
      <c r="AJ95" s="2" t="str">
        <v>Adcetris®</v>
      </c>
    </row>
    <row r="96" spans="1:36">
      <c r="A96" s="63">
        <v>96</v>
      </c>
      <c r="B96" s="59" t="s">
        <v>160</v>
      </c>
      <c r="C96" s="59" t="s">
        <v>161</v>
      </c>
      <c r="D96" s="60" t="s">
        <v>120</v>
      </c>
      <c r="E96" s="60" t="s">
        <v>60</v>
      </c>
      <c r="F96" s="60" t="s">
        <v>176</v>
      </c>
      <c r="G96" s="59">
        <v>2017</v>
      </c>
      <c r="H96" s="59">
        <f t="shared" si="1"/>
        <v>2017</v>
      </c>
      <c r="I96" s="60" t="s">
        <v>177</v>
      </c>
      <c r="J96" s="59" t="s">
        <v>85</v>
      </c>
      <c r="K96" s="84"/>
      <c r="L96" s="2" t="s">
        <v>18</v>
      </c>
      <c r="AE96" s="2" t="str">
        <v>Hairy cell leucemia</v>
      </c>
      <c r="AH96" s="2" t="str">
        <v>Literature review + CEM &amp; BIM adaptation + HTA application form</v>
      </c>
      <c r="AJ96" s="2" t="str">
        <v>Kengrexal®</v>
      </c>
    </row>
    <row r="97" spans="1:36">
      <c r="A97" s="64">
        <v>97</v>
      </c>
      <c r="B97" s="61" t="s">
        <v>160</v>
      </c>
      <c r="C97" s="61" t="s">
        <v>161</v>
      </c>
      <c r="D97" s="58" t="s">
        <v>120</v>
      </c>
      <c r="E97" s="58" t="s">
        <v>76</v>
      </c>
      <c r="F97" s="58" t="s">
        <v>178</v>
      </c>
      <c r="G97" s="61">
        <v>2017</v>
      </c>
      <c r="H97" s="61">
        <f t="shared" si="1"/>
        <v>2017</v>
      </c>
      <c r="I97" s="58" t="s">
        <v>166</v>
      </c>
      <c r="J97" s="61" t="s">
        <v>43</v>
      </c>
      <c r="K97" s="85"/>
      <c r="L97" s="2" t="s">
        <v>18</v>
      </c>
      <c r="AE97" s="2" t="str">
        <v>Renal cell carcinoma (1L)</v>
      </c>
      <c r="AH97" s="2" t="str">
        <v>Literature review + Expert panel + CEM &amp; BIM adaptation + Objection Handler adaptation + Mock negotiation + HTA application form</v>
      </c>
      <c r="AJ97" s="2" t="str">
        <v>Dupilumab</v>
      </c>
    </row>
    <row r="98" spans="1:36">
      <c r="A98" s="63">
        <v>98</v>
      </c>
      <c r="B98" s="59" t="s">
        <v>160</v>
      </c>
      <c r="C98" s="59" t="s">
        <v>161</v>
      </c>
      <c r="D98" s="60" t="s">
        <v>120</v>
      </c>
      <c r="E98" s="60" t="s">
        <v>86</v>
      </c>
      <c r="F98" s="60" t="s">
        <v>179</v>
      </c>
      <c r="G98" s="59">
        <v>2016</v>
      </c>
      <c r="H98" s="59">
        <f t="shared" si="1"/>
        <v>2016</v>
      </c>
      <c r="I98" s="60" t="s">
        <v>180</v>
      </c>
      <c r="J98" s="59" t="s">
        <v>85</v>
      </c>
      <c r="K98" s="84"/>
      <c r="L98" s="2" t="s">
        <v>18</v>
      </c>
      <c r="AE98" s="2" t="str">
        <v>Psoriatic arthritis</v>
      </c>
      <c r="AH98" s="2" t="str">
        <v>Literature review + Expert panel + CEM, CMM &amp; BIM adaptation + Objection Handler adaptation + Mock negotiation + HTA application form</v>
      </c>
      <c r="AJ98" s="2" t="str">
        <v xml:space="preserve">Braftovi® &amp; Mektovi® </v>
      </c>
    </row>
    <row r="99" spans="1:36">
      <c r="A99" s="64">
        <v>99</v>
      </c>
      <c r="B99" s="61" t="s">
        <v>160</v>
      </c>
      <c r="C99" s="61" t="s">
        <v>161</v>
      </c>
      <c r="D99" s="58" t="s">
        <v>120</v>
      </c>
      <c r="E99" s="58" t="s">
        <v>86</v>
      </c>
      <c r="F99" s="58" t="s">
        <v>179</v>
      </c>
      <c r="G99" s="61">
        <v>2015</v>
      </c>
      <c r="H99" s="61">
        <f t="shared" si="1"/>
        <v>2015</v>
      </c>
      <c r="I99" s="58" t="s">
        <v>166</v>
      </c>
      <c r="J99" s="61" t="s">
        <v>43</v>
      </c>
      <c r="K99" s="85"/>
      <c r="L99" s="2" t="s">
        <v>18</v>
      </c>
      <c r="AE99" s="2" t="str">
        <v>Depression</v>
      </c>
      <c r="AH99" s="2" t="str">
        <v>Literature review + CEM &amp; BIM adaptation + Objection Handler adaptation + Mock negotiation + HTA application form</v>
      </c>
      <c r="AJ99" s="2" t="str">
        <v>Ninlaro®</v>
      </c>
    </row>
    <row r="100" spans="1:36">
      <c r="A100" s="63">
        <v>100</v>
      </c>
      <c r="B100" s="59" t="s">
        <v>160</v>
      </c>
      <c r="C100" s="59" t="s">
        <v>161</v>
      </c>
      <c r="D100" s="60" t="s">
        <v>120</v>
      </c>
      <c r="E100" s="60" t="s">
        <v>60</v>
      </c>
      <c r="F100" s="60" t="s">
        <v>176</v>
      </c>
      <c r="G100" s="59">
        <v>2016</v>
      </c>
      <c r="H100" s="59">
        <f t="shared" si="1"/>
        <v>2016</v>
      </c>
      <c r="I100" s="60" t="s">
        <v>181</v>
      </c>
      <c r="J100" s="59" t="s">
        <v>182</v>
      </c>
      <c r="K100" s="84"/>
      <c r="L100" s="2" t="s">
        <v>18</v>
      </c>
      <c r="AE100" s="2" t="str">
        <v>Mulitiple sclerosis</v>
      </c>
      <c r="AH100" s="2" t="str">
        <v>Literature review + CEM, CMM &amp; BIM adaptation + HTA application form</v>
      </c>
      <c r="AJ100" s="2" t="str">
        <v>Upadacitinib (Rinvoq®)</v>
      </c>
    </row>
    <row r="101" spans="1:36">
      <c r="A101" s="64">
        <v>101</v>
      </c>
      <c r="B101" s="61" t="s">
        <v>160</v>
      </c>
      <c r="C101" s="61" t="s">
        <v>161</v>
      </c>
      <c r="D101" s="58" t="s">
        <v>120</v>
      </c>
      <c r="E101" s="58" t="s">
        <v>76</v>
      </c>
      <c r="F101" s="58" t="s">
        <v>148</v>
      </c>
      <c r="G101" s="61">
        <v>2015</v>
      </c>
      <c r="H101" s="61">
        <f t="shared" si="1"/>
        <v>2015</v>
      </c>
      <c r="I101" s="58" t="s">
        <v>170</v>
      </c>
      <c r="J101" s="61" t="s">
        <v>43</v>
      </c>
      <c r="K101" s="85" t="s">
        <v>149</v>
      </c>
      <c r="L101" s="2" t="s">
        <v>18</v>
      </c>
      <c r="AE101" s="2" t="str">
        <v>Atopic dermatitis</v>
      </c>
      <c r="AH101" s="2" t="str">
        <v>Literature review + CEM &amp; BIM adaptation + COI model development + Objection Handler adaptation + Mock negotiation + HTA application form</v>
      </c>
      <c r="AJ101" s="2" t="str">
        <v>Acarizax®</v>
      </c>
    </row>
    <row r="102" spans="1:36">
      <c r="A102" s="63">
        <v>102</v>
      </c>
      <c r="B102" s="59" t="s">
        <v>160</v>
      </c>
      <c r="C102" s="59" t="s">
        <v>161</v>
      </c>
      <c r="D102" s="60" t="s">
        <v>120</v>
      </c>
      <c r="E102" s="60" t="s">
        <v>13</v>
      </c>
      <c r="F102" s="60" t="s">
        <v>183</v>
      </c>
      <c r="G102" s="59">
        <v>2014</v>
      </c>
      <c r="H102" s="59">
        <f t="shared" si="1"/>
        <v>2014</v>
      </c>
      <c r="I102" s="60" t="s">
        <v>184</v>
      </c>
      <c r="J102" s="59" t="s">
        <v>175</v>
      </c>
      <c r="K102" s="84"/>
      <c r="L102" s="2" t="s">
        <v>18</v>
      </c>
      <c r="AE102" s="2" t="str">
        <v>Multiple sclerosis</v>
      </c>
      <c r="AH102" s="2" t="str">
        <v>Literature review + Expert panel + CEM &amp; BIM input sheets + HTA application form</v>
      </c>
      <c r="AJ102" s="2" t="str">
        <v>Empagliflozina</v>
      </c>
    </row>
    <row r="103" spans="1:36">
      <c r="A103" s="64">
        <v>103</v>
      </c>
      <c r="B103" s="61" t="s">
        <v>160</v>
      </c>
      <c r="C103" s="61" t="s">
        <v>161</v>
      </c>
      <c r="D103" s="58" t="s">
        <v>120</v>
      </c>
      <c r="E103" s="58" t="s">
        <v>13</v>
      </c>
      <c r="F103" s="58" t="s">
        <v>102</v>
      </c>
      <c r="G103" s="61">
        <v>2014</v>
      </c>
      <c r="H103" s="61">
        <f t="shared" si="1"/>
        <v>2014</v>
      </c>
      <c r="I103" s="58" t="s">
        <v>170</v>
      </c>
      <c r="J103" s="61" t="s">
        <v>65</v>
      </c>
      <c r="K103" s="85" t="s">
        <v>17</v>
      </c>
      <c r="L103" s="2" t="s">
        <v>18</v>
      </c>
      <c r="AE103" s="2">
        <v>0</v>
      </c>
      <c r="AH103" s="2" t="str">
        <v>Literature review + Expert panel + CEM, CpR &amp; BIM adaptation + Objection Handler adaptation + Mock negotiation + HTA application form</v>
      </c>
      <c r="AJ103" s="2" t="str">
        <v>VaxigripTetraTM</v>
      </c>
    </row>
    <row r="104" spans="1:36">
      <c r="A104" s="63">
        <v>104</v>
      </c>
      <c r="B104" s="59" t="s">
        <v>160</v>
      </c>
      <c r="C104" s="59" t="s">
        <v>161</v>
      </c>
      <c r="D104" s="60" t="s">
        <v>120</v>
      </c>
      <c r="E104" s="60" t="s">
        <v>86</v>
      </c>
      <c r="F104" s="60" t="s">
        <v>179</v>
      </c>
      <c r="G104" s="59">
        <v>2013</v>
      </c>
      <c r="H104" s="59">
        <f t="shared" si="1"/>
        <v>2013</v>
      </c>
      <c r="I104" s="60" t="s">
        <v>166</v>
      </c>
      <c r="J104" s="59" t="s">
        <v>43</v>
      </c>
      <c r="K104" s="84"/>
      <c r="L104" s="2" t="s">
        <v>18</v>
      </c>
      <c r="AE104" s="2" t="str">
        <v>Multiple myeloma</v>
      </c>
      <c r="AH104" s="2" t="str">
        <v>Literature review + Expert panel + COI model development</v>
      </c>
      <c r="AJ104" s="2" t="str">
        <v>Lokelma®</v>
      </c>
    </row>
    <row r="105" spans="1:36">
      <c r="A105" s="64">
        <v>105</v>
      </c>
      <c r="B105" s="61" t="s">
        <v>160</v>
      </c>
      <c r="C105" s="61" t="s">
        <v>161</v>
      </c>
      <c r="D105" s="58" t="s">
        <v>120</v>
      </c>
      <c r="E105" s="58" t="s">
        <v>32</v>
      </c>
      <c r="F105" s="58" t="s">
        <v>185</v>
      </c>
      <c r="G105" s="61">
        <v>2013</v>
      </c>
      <c r="H105" s="61">
        <f t="shared" si="1"/>
        <v>2013</v>
      </c>
      <c r="I105" s="58" t="s">
        <v>166</v>
      </c>
      <c r="J105" s="61" t="s">
        <v>43</v>
      </c>
      <c r="K105" s="85"/>
      <c r="L105" s="2" t="s">
        <v>18</v>
      </c>
      <c r="AE105" s="2" t="str">
        <v>Advanced therapy medicinal products (ATMPs)</v>
      </c>
      <c r="AH105" s="2" t="str">
        <v xml:space="preserve">Literature review + Expert panel + CEM &amp; BIM adaptation </v>
      </c>
      <c r="AJ105" s="2" t="str">
        <v>Glyxambi®</v>
      </c>
    </row>
    <row r="106" spans="1:36">
      <c r="A106" s="63">
        <v>106</v>
      </c>
      <c r="B106" s="59" t="s">
        <v>160</v>
      </c>
      <c r="C106" s="59" t="s">
        <v>161</v>
      </c>
      <c r="D106" s="60" t="s">
        <v>120</v>
      </c>
      <c r="E106" s="60" t="s">
        <v>13</v>
      </c>
      <c r="F106" s="60" t="s">
        <v>109</v>
      </c>
      <c r="G106" s="59">
        <v>2013</v>
      </c>
      <c r="H106" s="59">
        <f t="shared" si="1"/>
        <v>2013</v>
      </c>
      <c r="I106" s="60" t="s">
        <v>170</v>
      </c>
      <c r="J106" s="59" t="s">
        <v>65</v>
      </c>
      <c r="K106" s="84" t="s">
        <v>17</v>
      </c>
      <c r="L106" s="2" t="s">
        <v>18</v>
      </c>
      <c r="AE106" s="2" t="str">
        <v>Basal cell carcinoma</v>
      </c>
      <c r="AH106" s="2" t="str">
        <v xml:space="preserve">Literature review + Expert panel + BIM adaptation </v>
      </c>
      <c r="AJ106" s="2" t="str">
        <v>PET/MRI</v>
      </c>
    </row>
    <row r="107" spans="1:36">
      <c r="A107" s="64">
        <v>107</v>
      </c>
      <c r="B107" s="61" t="s">
        <v>186</v>
      </c>
      <c r="C107" s="61" t="s">
        <v>187</v>
      </c>
      <c r="D107" s="58" t="s">
        <v>120</v>
      </c>
      <c r="E107" s="58" t="s">
        <v>60</v>
      </c>
      <c r="F107" s="58" t="s">
        <v>188</v>
      </c>
      <c r="G107" s="61">
        <v>2015</v>
      </c>
      <c r="H107" s="61">
        <f t="shared" si="1"/>
        <v>2015</v>
      </c>
      <c r="I107" s="58" t="s">
        <v>189</v>
      </c>
      <c r="J107" s="61" t="s">
        <v>190</v>
      </c>
      <c r="K107" s="85" t="s">
        <v>191</v>
      </c>
      <c r="L107" s="2" t="s">
        <v>18</v>
      </c>
      <c r="AE107" s="2" t="str">
        <v>Multiple myeloma (1L)</v>
      </c>
      <c r="AH107" s="2" t="str">
        <v>Literature review + Expert panel + BIM development</v>
      </c>
      <c r="AJ107" s="2" t="str">
        <v>Entyvio</v>
      </c>
    </row>
    <row r="108" spans="1:36">
      <c r="A108" s="63">
        <v>108</v>
      </c>
      <c r="B108" s="59" t="s">
        <v>186</v>
      </c>
      <c r="C108" s="59" t="s">
        <v>187</v>
      </c>
      <c r="D108" s="60" t="s">
        <v>120</v>
      </c>
      <c r="E108" s="60" t="s">
        <v>13</v>
      </c>
      <c r="F108" s="60" t="s">
        <v>192</v>
      </c>
      <c r="G108" s="59">
        <v>2015</v>
      </c>
      <c r="H108" s="59">
        <f t="shared" si="1"/>
        <v>2015</v>
      </c>
      <c r="I108" s="60" t="s">
        <v>193</v>
      </c>
      <c r="J108" s="59" t="s">
        <v>194</v>
      </c>
      <c r="K108" s="84" t="s">
        <v>195</v>
      </c>
      <c r="L108" s="2" t="s">
        <v>18</v>
      </c>
      <c r="AE108" s="2" t="str">
        <v>Multiple myeloma (2L)</v>
      </c>
      <c r="AH108" s="2" t="str">
        <v>HTA dossiers (clinical+economic+budget impact), CEM adaptation, BIM adaptation, Ad-board</v>
      </c>
      <c r="AJ108" s="2" t="str">
        <v>Respimat</v>
      </c>
    </row>
    <row r="109" spans="1:36">
      <c r="A109" s="64">
        <v>109</v>
      </c>
      <c r="B109" s="61" t="s">
        <v>186</v>
      </c>
      <c r="C109" s="61" t="s">
        <v>187</v>
      </c>
      <c r="D109" s="58" t="s">
        <v>120</v>
      </c>
      <c r="E109" s="58" t="s">
        <v>32</v>
      </c>
      <c r="F109" s="58" t="s">
        <v>196</v>
      </c>
      <c r="G109" s="61">
        <v>2015</v>
      </c>
      <c r="H109" s="61">
        <f t="shared" si="1"/>
        <v>2015</v>
      </c>
      <c r="I109" s="58" t="s">
        <v>193</v>
      </c>
      <c r="J109" s="61" t="s">
        <v>197</v>
      </c>
      <c r="K109" s="85" t="s">
        <v>198</v>
      </c>
      <c r="L109" s="2" t="s">
        <v>18</v>
      </c>
      <c r="AE109" s="2" t="str">
        <v>Acid sphingomyelinase deficiency</v>
      </c>
      <c r="AH109" s="2" t="str">
        <v>HTA dossiers (economic+budget impact), CEM adaptation, BIM adaptation, Expert interviews</v>
      </c>
      <c r="AJ109" s="2" t="str">
        <v>Adalimumab</v>
      </c>
    </row>
    <row r="110" spans="1:36">
      <c r="A110" s="63">
        <v>110</v>
      </c>
      <c r="B110" s="59" t="s">
        <v>186</v>
      </c>
      <c r="C110" s="59" t="s">
        <v>187</v>
      </c>
      <c r="D110" s="60" t="s">
        <v>120</v>
      </c>
      <c r="E110" s="60" t="s">
        <v>13</v>
      </c>
      <c r="F110" s="60" t="s">
        <v>199</v>
      </c>
      <c r="G110" s="59">
        <v>2015</v>
      </c>
      <c r="H110" s="59">
        <f t="shared" si="1"/>
        <v>2015</v>
      </c>
      <c r="I110" s="60" t="s">
        <v>193</v>
      </c>
      <c r="J110" s="59" t="s">
        <v>200</v>
      </c>
      <c r="K110" s="84" t="s">
        <v>201</v>
      </c>
      <c r="L110" s="2" t="s">
        <v>18</v>
      </c>
      <c r="AE110" s="2" t="str">
        <v>Infections and inflammations associated with cataract surgery</v>
      </c>
      <c r="AH110" s="2" t="str">
        <v>Reimbursement request, CEM adaptation, BIM adaptation, Expert interviews</v>
      </c>
      <c r="AJ110" s="2" t="str">
        <v>subpopulation epilepsy</v>
      </c>
    </row>
    <row r="111" spans="1:36">
      <c r="A111" s="64">
        <v>111</v>
      </c>
      <c r="B111" s="61" t="s">
        <v>186</v>
      </c>
      <c r="C111" s="61" t="s">
        <v>187</v>
      </c>
      <c r="D111" s="58" t="s">
        <v>120</v>
      </c>
      <c r="E111" s="58" t="s">
        <v>13</v>
      </c>
      <c r="F111" s="58" t="s">
        <v>199</v>
      </c>
      <c r="G111" s="61">
        <v>2015</v>
      </c>
      <c r="H111" s="61">
        <f t="shared" si="1"/>
        <v>2015</v>
      </c>
      <c r="I111" s="58" t="s">
        <v>202</v>
      </c>
      <c r="J111" s="61"/>
      <c r="K111" s="85" t="s">
        <v>203</v>
      </c>
      <c r="L111" s="2" t="s">
        <v>18</v>
      </c>
      <c r="AE111" s="2" t="str">
        <v>Non-small cell lung cancer (1L)</v>
      </c>
      <c r="AH111" s="2" t="str">
        <v>CEM adaptation, Economic HTA dossier, Expert interviews</v>
      </c>
      <c r="AJ111" s="2" t="str">
        <v>Xofigo</v>
      </c>
    </row>
    <row r="112" spans="1:36">
      <c r="A112" s="63">
        <v>112</v>
      </c>
      <c r="B112" s="59" t="s">
        <v>186</v>
      </c>
      <c r="C112" s="59" t="s">
        <v>187</v>
      </c>
      <c r="D112" s="60" t="s">
        <v>120</v>
      </c>
      <c r="E112" s="60" t="s">
        <v>172</v>
      </c>
      <c r="F112" s="60" t="s">
        <v>204</v>
      </c>
      <c r="G112" s="59">
        <v>2015</v>
      </c>
      <c r="H112" s="59">
        <f t="shared" si="1"/>
        <v>2015</v>
      </c>
      <c r="I112" s="60" t="s">
        <v>193</v>
      </c>
      <c r="J112" s="59" t="s">
        <v>205</v>
      </c>
      <c r="K112" s="84" t="s">
        <v>206</v>
      </c>
      <c r="L112" s="2" t="s">
        <v>18</v>
      </c>
      <c r="AE112" s="2" t="str">
        <v>Hepatocellular carcinoma (1L)</v>
      </c>
      <c r="AH112" s="2" t="str">
        <v>HTA dossiers (clinical+economic+budget impact), CEM adaptation, BIM adaptation, Expert interviews</v>
      </c>
      <c r="AJ112" s="2" t="str">
        <v>Estilar</v>
      </c>
    </row>
    <row r="113" spans="1:36">
      <c r="A113" s="64">
        <v>113</v>
      </c>
      <c r="B113" s="61" t="s">
        <v>186</v>
      </c>
      <c r="C113" s="61" t="s">
        <v>187</v>
      </c>
      <c r="D113" s="58" t="s">
        <v>120</v>
      </c>
      <c r="E113" s="58" t="s">
        <v>60</v>
      </c>
      <c r="F113" s="58" t="s">
        <v>207</v>
      </c>
      <c r="G113" s="61">
        <v>2015</v>
      </c>
      <c r="H113" s="61">
        <f t="shared" si="1"/>
        <v>2015</v>
      </c>
      <c r="I113" s="58" t="s">
        <v>193</v>
      </c>
      <c r="J113" s="61" t="s">
        <v>205</v>
      </c>
      <c r="K113" s="85" t="s">
        <v>208</v>
      </c>
      <c r="L113" s="2" t="s">
        <v>18</v>
      </c>
      <c r="AE113" s="2" t="str">
        <v>Covid-19</v>
      </c>
      <c r="AH113" s="2" t="str">
        <v>Clincal HTA dossier</v>
      </c>
      <c r="AJ113" s="2" t="str">
        <v>Sarilumab</v>
      </c>
    </row>
    <row r="114" spans="1:36">
      <c r="A114" s="63">
        <v>114</v>
      </c>
      <c r="B114" s="59" t="s">
        <v>186</v>
      </c>
      <c r="C114" s="59" t="s">
        <v>187</v>
      </c>
      <c r="D114" s="60" t="s">
        <v>120</v>
      </c>
      <c r="E114" s="60" t="s">
        <v>60</v>
      </c>
      <c r="F114" s="60" t="s">
        <v>207</v>
      </c>
      <c r="G114" s="59">
        <v>2016</v>
      </c>
      <c r="H114" s="59">
        <f t="shared" si="1"/>
        <v>2016</v>
      </c>
      <c r="I114" s="60" t="s">
        <v>193</v>
      </c>
      <c r="J114" s="59" t="s">
        <v>205</v>
      </c>
      <c r="K114" s="84" t="s">
        <v>209</v>
      </c>
      <c r="L114" s="2" t="s">
        <v>18</v>
      </c>
      <c r="AE114" s="2" t="str">
        <v>Schizophrenia</v>
      </c>
      <c r="AH114" s="2" t="str">
        <v>Clincal + budget impact HTA dossier, BIM adaptation, ad-board</v>
      </c>
      <c r="AJ114" s="2" t="str">
        <v>Tebofortan</v>
      </c>
    </row>
    <row r="115" spans="1:36">
      <c r="A115" s="64">
        <v>115</v>
      </c>
      <c r="B115" s="61" t="s">
        <v>186</v>
      </c>
      <c r="C115" s="61" t="s">
        <v>187</v>
      </c>
      <c r="D115" s="58" t="s">
        <v>120</v>
      </c>
      <c r="E115" s="58" t="s">
        <v>60</v>
      </c>
      <c r="F115" s="58" t="s">
        <v>207</v>
      </c>
      <c r="G115" s="61">
        <v>2016</v>
      </c>
      <c r="H115" s="61">
        <f t="shared" si="1"/>
        <v>2016</v>
      </c>
      <c r="I115" s="58" t="s">
        <v>210</v>
      </c>
      <c r="J115" s="61" t="s">
        <v>205</v>
      </c>
      <c r="K115" s="85" t="s">
        <v>211</v>
      </c>
      <c r="L115" s="2" t="s">
        <v>18</v>
      </c>
      <c r="AE115" s="2" t="str">
        <v>Chronic hypoparathyroidism</v>
      </c>
      <c r="AJ115" s="2" t="str">
        <v>Toujeo</v>
      </c>
    </row>
    <row r="116" spans="1:36">
      <c r="A116" s="63">
        <v>116</v>
      </c>
      <c r="B116" s="59" t="s">
        <v>186</v>
      </c>
      <c r="C116" s="59" t="s">
        <v>187</v>
      </c>
      <c r="D116" s="60" t="s">
        <v>120</v>
      </c>
      <c r="E116" s="60" t="s">
        <v>13</v>
      </c>
      <c r="F116" s="60" t="s">
        <v>212</v>
      </c>
      <c r="G116" s="59">
        <v>2016</v>
      </c>
      <c r="H116" s="59">
        <f t="shared" si="1"/>
        <v>2016</v>
      </c>
      <c r="I116" s="60" t="s">
        <v>193</v>
      </c>
      <c r="J116" s="59" t="s">
        <v>200</v>
      </c>
      <c r="K116" s="84" t="s">
        <v>213</v>
      </c>
      <c r="L116" s="2" t="s">
        <v>18</v>
      </c>
      <c r="AE116" s="2" t="str">
        <v>HER2 positive metastatic breast cancer</v>
      </c>
      <c r="AJ116" s="2" t="str">
        <v>Humira</v>
      </c>
    </row>
    <row r="117" spans="1:36">
      <c r="A117" s="64">
        <v>117</v>
      </c>
      <c r="B117" s="61" t="s">
        <v>186</v>
      </c>
      <c r="C117" s="61" t="s">
        <v>187</v>
      </c>
      <c r="D117" s="58" t="s">
        <v>120</v>
      </c>
      <c r="E117" s="58" t="s">
        <v>13</v>
      </c>
      <c r="F117" s="58" t="s">
        <v>214</v>
      </c>
      <c r="G117" s="61">
        <v>2016</v>
      </c>
      <c r="H117" s="61">
        <f t="shared" si="1"/>
        <v>2016</v>
      </c>
      <c r="I117" s="58" t="s">
        <v>193</v>
      </c>
      <c r="J117" s="61" t="s">
        <v>215</v>
      </c>
      <c r="K117" s="85" t="s">
        <v>216</v>
      </c>
      <c r="L117" s="2" t="s">
        <v>18</v>
      </c>
      <c r="AE117" s="2" t="str">
        <v>Alzheimer’s Disease</v>
      </c>
      <c r="AJ117" s="2" t="str">
        <v>None</v>
      </c>
    </row>
    <row r="118" spans="1:36">
      <c r="A118" s="63">
        <v>118</v>
      </c>
      <c r="B118" s="59" t="s">
        <v>186</v>
      </c>
      <c r="C118" s="59" t="s">
        <v>187</v>
      </c>
      <c r="D118" s="60" t="s">
        <v>120</v>
      </c>
      <c r="E118" s="60" t="s">
        <v>172</v>
      </c>
      <c r="F118" s="60" t="s">
        <v>204</v>
      </c>
      <c r="G118" s="59">
        <v>2016</v>
      </c>
      <c r="H118" s="59">
        <f t="shared" si="1"/>
        <v>2016</v>
      </c>
      <c r="I118" s="60" t="s">
        <v>217</v>
      </c>
      <c r="J118" s="59" t="s">
        <v>205</v>
      </c>
      <c r="K118" s="84" t="s">
        <v>206</v>
      </c>
      <c r="L118" s="2" t="s">
        <v>18</v>
      </c>
      <c r="AE118" s="2" t="str">
        <v>Anticoagulation. ACODs in DVT and EP</v>
      </c>
      <c r="AJ118" s="2" t="str">
        <v>Ixekizumab</v>
      </c>
    </row>
    <row r="119" spans="1:36">
      <c r="A119" s="64">
        <v>119</v>
      </c>
      <c r="B119" s="61" t="s">
        <v>186</v>
      </c>
      <c r="C119" s="61" t="s">
        <v>187</v>
      </c>
      <c r="D119" s="58" t="s">
        <v>120</v>
      </c>
      <c r="E119" s="58" t="s">
        <v>60</v>
      </c>
      <c r="F119" s="58" t="s">
        <v>207</v>
      </c>
      <c r="G119" s="61">
        <v>2016</v>
      </c>
      <c r="H119" s="61">
        <f t="shared" si="1"/>
        <v>2016</v>
      </c>
      <c r="I119" s="58" t="s">
        <v>193</v>
      </c>
      <c r="J119" s="61" t="s">
        <v>205</v>
      </c>
      <c r="K119" s="85" t="s">
        <v>208</v>
      </c>
      <c r="L119" s="2" t="s">
        <v>18</v>
      </c>
      <c r="AE119" s="2" t="str">
        <v>Prevention of cardiovascular events</v>
      </c>
      <c r="AJ119" s="2" t="str">
        <v>Jardiance</v>
      </c>
    </row>
    <row r="120" spans="1:36">
      <c r="A120" s="63">
        <v>120</v>
      </c>
      <c r="B120" s="59" t="s">
        <v>186</v>
      </c>
      <c r="C120" s="59" t="s">
        <v>187</v>
      </c>
      <c r="D120" s="60" t="s">
        <v>120</v>
      </c>
      <c r="E120" s="60" t="s">
        <v>60</v>
      </c>
      <c r="F120" s="60" t="s">
        <v>207</v>
      </c>
      <c r="G120" s="59">
        <v>2016</v>
      </c>
      <c r="H120" s="59">
        <f t="shared" si="1"/>
        <v>2016</v>
      </c>
      <c r="I120" s="60" t="s">
        <v>193</v>
      </c>
      <c r="J120" s="59" t="s">
        <v>205</v>
      </c>
      <c r="K120" s="84" t="s">
        <v>211</v>
      </c>
      <c r="L120" s="2" t="s">
        <v>18</v>
      </c>
      <c r="AE120" s="2" t="str">
        <v xml:space="preserve">Stroke, Traumatic Brain Injury and Cognitive Impairment </v>
      </c>
      <c r="AJ120" s="2" t="str">
        <v>Xtandi (enzalutamide)</v>
      </c>
    </row>
    <row r="121" spans="1:36">
      <c r="A121" s="64">
        <v>121</v>
      </c>
      <c r="B121" s="61" t="s">
        <v>186</v>
      </c>
      <c r="C121" s="61" t="s">
        <v>187</v>
      </c>
      <c r="D121" s="58" t="s">
        <v>120</v>
      </c>
      <c r="E121" s="58" t="s">
        <v>60</v>
      </c>
      <c r="F121" s="58" t="s">
        <v>207</v>
      </c>
      <c r="G121" s="61">
        <v>2016</v>
      </c>
      <c r="H121" s="61">
        <f t="shared" si="1"/>
        <v>2016</v>
      </c>
      <c r="I121" s="58" t="s">
        <v>217</v>
      </c>
      <c r="J121" s="61" t="s">
        <v>205</v>
      </c>
      <c r="K121" s="85" t="s">
        <v>211</v>
      </c>
      <c r="L121" s="2" t="s">
        <v>18</v>
      </c>
      <c r="AE121" s="2" t="str">
        <v>Chronic lymphocytic leukemia</v>
      </c>
      <c r="AJ121" s="2" t="str">
        <v>Gamunex</v>
      </c>
    </row>
    <row r="122" spans="1:36">
      <c r="A122" s="63">
        <v>122</v>
      </c>
      <c r="B122" s="59" t="s">
        <v>186</v>
      </c>
      <c r="C122" s="59" t="s">
        <v>187</v>
      </c>
      <c r="D122" s="60" t="s">
        <v>120</v>
      </c>
      <c r="E122" s="60" t="s">
        <v>60</v>
      </c>
      <c r="F122" s="60" t="s">
        <v>207</v>
      </c>
      <c r="G122" s="59">
        <v>2016</v>
      </c>
      <c r="H122" s="59">
        <f t="shared" si="1"/>
        <v>2016</v>
      </c>
      <c r="I122" s="60" t="s">
        <v>193</v>
      </c>
      <c r="J122" s="59" t="s">
        <v>205</v>
      </c>
      <c r="K122" s="84" t="s">
        <v>208</v>
      </c>
      <c r="L122" s="2" t="s">
        <v>18</v>
      </c>
      <c r="AE122" s="2" t="str">
        <v>Untreated Hodgkin lymphoma</v>
      </c>
      <c r="AJ122" s="2" t="str">
        <v>Tetanus Gamma</v>
      </c>
    </row>
    <row r="123" spans="1:36">
      <c r="A123" s="64">
        <v>123</v>
      </c>
      <c r="B123" s="61" t="s">
        <v>186</v>
      </c>
      <c r="C123" s="61" t="s">
        <v>187</v>
      </c>
      <c r="D123" s="58" t="s">
        <v>120</v>
      </c>
      <c r="E123" s="58" t="s">
        <v>13</v>
      </c>
      <c r="F123" s="58" t="s">
        <v>192</v>
      </c>
      <c r="G123" s="61">
        <v>2017</v>
      </c>
      <c r="H123" s="61">
        <f t="shared" si="1"/>
        <v>2017</v>
      </c>
      <c r="I123" s="58" t="s">
        <v>218</v>
      </c>
      <c r="J123" s="61" t="s">
        <v>219</v>
      </c>
      <c r="K123" s="85" t="s">
        <v>220</v>
      </c>
      <c r="L123" s="2" t="s">
        <v>18</v>
      </c>
      <c r="AE123" s="2" t="str">
        <v>Thrombotic cardiovascular events</v>
      </c>
      <c r="AJ123" s="2" t="str">
        <v>brexpiprazole</v>
      </c>
    </row>
    <row r="124" spans="1:36">
      <c r="A124" s="63">
        <v>124</v>
      </c>
      <c r="B124" s="59" t="s">
        <v>186</v>
      </c>
      <c r="C124" s="59" t="s">
        <v>187</v>
      </c>
      <c r="D124" s="60" t="s">
        <v>120</v>
      </c>
      <c r="E124" s="60" t="s">
        <v>13</v>
      </c>
      <c r="F124" s="60" t="s">
        <v>192</v>
      </c>
      <c r="G124" s="59">
        <v>2017</v>
      </c>
      <c r="H124" s="59">
        <f t="shared" si="1"/>
        <v>2017</v>
      </c>
      <c r="I124" s="60" t="s">
        <v>218</v>
      </c>
      <c r="J124" s="59" t="s">
        <v>219</v>
      </c>
      <c r="K124" s="84" t="s">
        <v>220</v>
      </c>
      <c r="L124" s="2" t="s">
        <v>18</v>
      </c>
      <c r="AE124" s="2" t="str">
        <v>Asthma</v>
      </c>
      <c r="AJ124" s="2" t="str">
        <v>Salagen</v>
      </c>
    </row>
    <row r="125" spans="1:36">
      <c r="A125" s="64">
        <v>125</v>
      </c>
      <c r="B125" s="61" t="s">
        <v>186</v>
      </c>
      <c r="C125" s="61" t="s">
        <v>187</v>
      </c>
      <c r="D125" s="58" t="s">
        <v>120</v>
      </c>
      <c r="E125" s="58" t="s">
        <v>13</v>
      </c>
      <c r="F125" s="58" t="s">
        <v>192</v>
      </c>
      <c r="G125" s="61">
        <v>2017</v>
      </c>
      <c r="H125" s="61">
        <f t="shared" si="1"/>
        <v>2017</v>
      </c>
      <c r="I125" s="58" t="s">
        <v>218</v>
      </c>
      <c r="J125" s="61" t="s">
        <v>219</v>
      </c>
      <c r="K125" s="85" t="s">
        <v>220</v>
      </c>
      <c r="L125" s="2" t="s">
        <v>18</v>
      </c>
      <c r="AE125" s="2" t="str">
        <v>Unresectable or Metastatic Melanoma</v>
      </c>
      <c r="AJ125" s="2" t="str">
        <v>Laronidase (aldurazyme)</v>
      </c>
    </row>
    <row r="126" spans="1:36">
      <c r="A126" s="63">
        <v>126</v>
      </c>
      <c r="B126" s="59" t="s">
        <v>186</v>
      </c>
      <c r="C126" s="59" t="s">
        <v>187</v>
      </c>
      <c r="D126" s="60" t="s">
        <v>120</v>
      </c>
      <c r="E126" s="60" t="s">
        <v>60</v>
      </c>
      <c r="F126" s="60" t="s">
        <v>221</v>
      </c>
      <c r="G126" s="59">
        <v>2017</v>
      </c>
      <c r="H126" s="59">
        <f t="shared" si="1"/>
        <v>2017</v>
      </c>
      <c r="I126" s="60" t="s">
        <v>193</v>
      </c>
      <c r="J126" s="59" t="s">
        <v>222</v>
      </c>
      <c r="K126" s="84" t="s">
        <v>223</v>
      </c>
      <c r="L126" s="2" t="s">
        <v>18</v>
      </c>
      <c r="AE126" s="2" t="str">
        <v>Refractory or Relactive Multiple Myeloma</v>
      </c>
      <c r="AJ126" s="2" t="str">
        <v>Xospata (gilteritinib)</v>
      </c>
    </row>
    <row r="127" spans="1:36">
      <c r="A127" s="64">
        <v>127</v>
      </c>
      <c r="B127" s="61" t="s">
        <v>186</v>
      </c>
      <c r="C127" s="61" t="s">
        <v>187</v>
      </c>
      <c r="D127" s="58" t="s">
        <v>120</v>
      </c>
      <c r="E127" s="58" t="s">
        <v>13</v>
      </c>
      <c r="F127" s="58" t="s">
        <v>134</v>
      </c>
      <c r="G127" s="61">
        <v>2017</v>
      </c>
      <c r="H127" s="61">
        <f t="shared" si="1"/>
        <v>2017</v>
      </c>
      <c r="I127" s="58" t="s">
        <v>193</v>
      </c>
      <c r="J127" s="61" t="s">
        <v>205</v>
      </c>
      <c r="K127" s="85" t="s">
        <v>224</v>
      </c>
      <c r="L127" s="2" t="s">
        <v>18</v>
      </c>
      <c r="AE127" s="2" t="str">
        <v>Advanced melanoma</v>
      </c>
      <c r="AJ127" s="2" t="str">
        <v>Deursil (ursodeoxycholic acid)</v>
      </c>
    </row>
    <row r="128" spans="1:36">
      <c r="A128" s="63">
        <v>128</v>
      </c>
      <c r="B128" s="59" t="s">
        <v>186</v>
      </c>
      <c r="C128" s="59" t="s">
        <v>187</v>
      </c>
      <c r="D128" s="60" t="s">
        <v>120</v>
      </c>
      <c r="E128" s="60" t="s">
        <v>172</v>
      </c>
      <c r="F128" s="60" t="s">
        <v>204</v>
      </c>
      <c r="G128" s="59">
        <v>2017</v>
      </c>
      <c r="H128" s="59">
        <f t="shared" si="1"/>
        <v>2017</v>
      </c>
      <c r="I128" s="60" t="s">
        <v>193</v>
      </c>
      <c r="J128" s="59" t="s">
        <v>205</v>
      </c>
      <c r="K128" s="84" t="s">
        <v>206</v>
      </c>
      <c r="L128" s="2" t="s">
        <v>18</v>
      </c>
      <c r="AE128" s="2" t="str">
        <v>Diabetes mellitus type 2</v>
      </c>
      <c r="AJ128" s="2" t="str">
        <v>Fluticasone furoate / umeclidinium bromide / vilanterol</v>
      </c>
    </row>
    <row r="129" spans="1:36">
      <c r="A129" s="64">
        <v>129</v>
      </c>
      <c r="B129" s="61" t="s">
        <v>186</v>
      </c>
      <c r="C129" s="61" t="s">
        <v>187</v>
      </c>
      <c r="D129" s="58" t="s">
        <v>120</v>
      </c>
      <c r="E129" s="58" t="s">
        <v>60</v>
      </c>
      <c r="F129" s="58" t="s">
        <v>207</v>
      </c>
      <c r="G129" s="61">
        <v>2017</v>
      </c>
      <c r="H129" s="61">
        <f t="shared" si="1"/>
        <v>2017</v>
      </c>
      <c r="I129" s="58" t="s">
        <v>217</v>
      </c>
      <c r="J129" s="61" t="s">
        <v>205</v>
      </c>
      <c r="K129" s="85" t="s">
        <v>208</v>
      </c>
      <c r="L129" s="2" t="s">
        <v>18</v>
      </c>
      <c r="AE129" s="2" t="str">
        <v>Moderate-severe psoriasis</v>
      </c>
      <c r="AJ129" s="2" t="str">
        <v>Flucelvax QIVc (quadrivalent  vaccine)</v>
      </c>
    </row>
    <row r="130" spans="1:36">
      <c r="A130" s="63">
        <v>130</v>
      </c>
      <c r="B130" s="59" t="s">
        <v>186</v>
      </c>
      <c r="C130" s="59" t="s">
        <v>187</v>
      </c>
      <c r="D130" s="60" t="s">
        <v>120</v>
      </c>
      <c r="E130" s="60" t="s">
        <v>71</v>
      </c>
      <c r="F130" s="60" t="s">
        <v>129</v>
      </c>
      <c r="G130" s="59">
        <v>2017</v>
      </c>
      <c r="H130" s="59">
        <f t="shared" si="1"/>
        <v>2017</v>
      </c>
      <c r="I130" s="60" t="s">
        <v>193</v>
      </c>
      <c r="J130" s="59" t="s">
        <v>225</v>
      </c>
      <c r="K130" s="84" t="s">
        <v>226</v>
      </c>
      <c r="L130" s="2" t="s">
        <v>18</v>
      </c>
      <c r="AE130" s="2" t="str">
        <v>Influenza</v>
      </c>
      <c r="AJ130" s="2" t="str">
        <v>Xiapex (clostridium Histolyticum)</v>
      </c>
    </row>
    <row r="131" spans="1:36">
      <c r="A131" s="64">
        <v>131</v>
      </c>
      <c r="B131" s="61" t="s">
        <v>186</v>
      </c>
      <c r="C131" s="61" t="s">
        <v>187</v>
      </c>
      <c r="D131" s="58" t="s">
        <v>120</v>
      </c>
      <c r="E131" s="58" t="s">
        <v>41</v>
      </c>
      <c r="F131" s="58" t="s">
        <v>167</v>
      </c>
      <c r="G131" s="61">
        <v>2017</v>
      </c>
      <c r="H131" s="61">
        <f t="shared" si="1"/>
        <v>2017</v>
      </c>
      <c r="I131" s="58" t="s">
        <v>193</v>
      </c>
      <c r="J131" s="61"/>
      <c r="K131" s="85" t="s">
        <v>227</v>
      </c>
      <c r="L131" s="2" t="s">
        <v>18</v>
      </c>
      <c r="AE131" s="2" t="str">
        <v>hospital services, pathologies</v>
      </c>
      <c r="AJ131" s="2" t="str">
        <v>Gamifant (emapalumab)</v>
      </c>
    </row>
    <row r="132" spans="1:36">
      <c r="A132" s="63">
        <v>132</v>
      </c>
      <c r="B132" s="59" t="s">
        <v>186</v>
      </c>
      <c r="C132" s="59" t="s">
        <v>187</v>
      </c>
      <c r="D132" s="60" t="s">
        <v>120</v>
      </c>
      <c r="E132" s="60" t="s">
        <v>71</v>
      </c>
      <c r="F132" s="60" t="s">
        <v>129</v>
      </c>
      <c r="G132" s="59">
        <v>2017</v>
      </c>
      <c r="H132" s="59">
        <f t="shared" ref="H132:H195" si="2">G132</f>
        <v>2017</v>
      </c>
      <c r="I132" s="60" t="s">
        <v>193</v>
      </c>
      <c r="J132" s="59" t="s">
        <v>205</v>
      </c>
      <c r="K132" s="84" t="s">
        <v>228</v>
      </c>
      <c r="L132" s="2" t="s">
        <v>18</v>
      </c>
      <c r="AE132" s="2" t="str">
        <v>Inlamatory bowel diseases</v>
      </c>
      <c r="AJ132" s="2" t="str">
        <v>Vazkepa (icosapent ethyl)</v>
      </c>
    </row>
    <row r="133" spans="1:36">
      <c r="A133" s="64">
        <v>133</v>
      </c>
      <c r="B133" s="61" t="s">
        <v>186</v>
      </c>
      <c r="C133" s="61" t="s">
        <v>187</v>
      </c>
      <c r="D133" s="58" t="s">
        <v>120</v>
      </c>
      <c r="E133" s="58" t="s">
        <v>21</v>
      </c>
      <c r="F133" s="58" t="s">
        <v>229</v>
      </c>
      <c r="G133" s="61">
        <v>2017</v>
      </c>
      <c r="H133" s="61">
        <f t="shared" si="2"/>
        <v>2017</v>
      </c>
      <c r="I133" s="58" t="s">
        <v>193</v>
      </c>
      <c r="J133" s="61" t="s">
        <v>200</v>
      </c>
      <c r="K133" s="85" t="s">
        <v>230</v>
      </c>
      <c r="L133" s="2" t="s">
        <v>18</v>
      </c>
      <c r="AE133" s="2" t="str">
        <v>Chronic obstructive pulmonary disease (COPD)</v>
      </c>
      <c r="AJ133" s="2" t="str">
        <v>lurasidone</v>
      </c>
    </row>
    <row r="134" spans="1:36">
      <c r="A134" s="63">
        <v>134</v>
      </c>
      <c r="B134" s="59" t="s">
        <v>186</v>
      </c>
      <c r="C134" s="59" t="s">
        <v>187</v>
      </c>
      <c r="D134" s="60" t="s">
        <v>120</v>
      </c>
      <c r="E134" s="60" t="s">
        <v>13</v>
      </c>
      <c r="F134" s="60" t="s">
        <v>231</v>
      </c>
      <c r="G134" s="59">
        <v>2018</v>
      </c>
      <c r="H134" s="59">
        <f t="shared" si="2"/>
        <v>2018</v>
      </c>
      <c r="I134" s="60"/>
      <c r="J134" s="59"/>
      <c r="K134" s="84" t="s">
        <v>17</v>
      </c>
      <c r="L134" s="2" t="s">
        <v>18</v>
      </c>
      <c r="AE134" s="2" t="str">
        <v>Uveitis</v>
      </c>
      <c r="AJ134" s="2" t="str">
        <v>Ofev (nintedanib)</v>
      </c>
    </row>
    <row r="135" spans="1:36">
      <c r="A135" s="64">
        <v>135</v>
      </c>
      <c r="B135" s="61" t="s">
        <v>186</v>
      </c>
      <c r="C135" s="61" t="s">
        <v>187</v>
      </c>
      <c r="D135" s="58" t="s">
        <v>120</v>
      </c>
      <c r="E135" s="58" t="s">
        <v>172</v>
      </c>
      <c r="F135" s="58" t="s">
        <v>232</v>
      </c>
      <c r="G135" s="61">
        <v>2018</v>
      </c>
      <c r="H135" s="61">
        <f t="shared" si="2"/>
        <v>2018</v>
      </c>
      <c r="I135" s="58"/>
      <c r="J135" s="61" t="s">
        <v>197</v>
      </c>
      <c r="K135" s="85" t="s">
        <v>233</v>
      </c>
      <c r="L135" s="2" t="s">
        <v>18</v>
      </c>
      <c r="AE135" s="2" t="str">
        <v>Castration-resistant prostate cancer</v>
      </c>
      <c r="AJ135" s="2" t="str">
        <v>Zejula (niraparib)</v>
      </c>
    </row>
    <row r="136" spans="1:36">
      <c r="A136" s="63">
        <v>136</v>
      </c>
      <c r="B136" s="59" t="s">
        <v>186</v>
      </c>
      <c r="C136" s="59" t="s">
        <v>187</v>
      </c>
      <c r="D136" s="60" t="s">
        <v>120</v>
      </c>
      <c r="E136" s="60" t="s">
        <v>13</v>
      </c>
      <c r="F136" s="60" t="s">
        <v>134</v>
      </c>
      <c r="G136" s="59">
        <v>2018</v>
      </c>
      <c r="H136" s="59">
        <f t="shared" si="2"/>
        <v>2018</v>
      </c>
      <c r="I136" s="60" t="s">
        <v>193</v>
      </c>
      <c r="J136" s="59" t="s">
        <v>197</v>
      </c>
      <c r="K136" s="84" t="s">
        <v>234</v>
      </c>
      <c r="L136" s="2" t="s">
        <v>18</v>
      </c>
      <c r="AE136" s="2" t="str">
        <v>Psoriasis</v>
      </c>
      <c r="AJ136" s="2" t="str">
        <v>dostarlimab</v>
      </c>
    </row>
    <row r="137" spans="1:36">
      <c r="A137" s="64">
        <v>137</v>
      </c>
      <c r="B137" s="61" t="s">
        <v>186</v>
      </c>
      <c r="C137" s="61" t="s">
        <v>187</v>
      </c>
      <c r="D137" s="58" t="s">
        <v>120</v>
      </c>
      <c r="E137" s="58" t="s">
        <v>71</v>
      </c>
      <c r="F137" s="58" t="s">
        <v>235</v>
      </c>
      <c r="G137" s="61">
        <v>2018</v>
      </c>
      <c r="H137" s="61">
        <f t="shared" si="2"/>
        <v>2018</v>
      </c>
      <c r="I137" s="58" t="s">
        <v>236</v>
      </c>
      <c r="J137" s="61" t="s">
        <v>200</v>
      </c>
      <c r="K137" s="85" t="s">
        <v>237</v>
      </c>
      <c r="L137" s="2" t="s">
        <v>18</v>
      </c>
      <c r="AE137" s="2" t="str">
        <v>Rheumatoid artritis</v>
      </c>
      <c r="AJ137" s="2" t="str">
        <v>Blenrep (belantamab)</v>
      </c>
    </row>
    <row r="138" spans="1:36">
      <c r="A138" s="63">
        <v>138</v>
      </c>
      <c r="B138" s="59" t="s">
        <v>186</v>
      </c>
      <c r="C138" s="59" t="s">
        <v>187</v>
      </c>
      <c r="D138" s="60" t="s">
        <v>120</v>
      </c>
      <c r="E138" s="60" t="s">
        <v>13</v>
      </c>
      <c r="F138" s="60" t="s">
        <v>238</v>
      </c>
      <c r="G138" s="59">
        <v>2018</v>
      </c>
      <c r="H138" s="59">
        <f t="shared" si="2"/>
        <v>2018</v>
      </c>
      <c r="I138" s="60" t="s">
        <v>218</v>
      </c>
      <c r="J138" s="59" t="s">
        <v>239</v>
      </c>
      <c r="K138" s="84"/>
      <c r="L138" s="2" t="s">
        <v>18</v>
      </c>
      <c r="AE138" s="2" t="str">
        <v>Mild cognitive impairment (MCI)</v>
      </c>
      <c r="AJ138" s="2" t="str">
        <v>Veraseal</v>
      </c>
    </row>
    <row r="139" spans="1:36">
      <c r="A139" s="64">
        <v>139</v>
      </c>
      <c r="B139" s="61" t="s">
        <v>186</v>
      </c>
      <c r="C139" s="61" t="s">
        <v>187</v>
      </c>
      <c r="D139" s="58" t="s">
        <v>120</v>
      </c>
      <c r="E139" s="58" t="s">
        <v>13</v>
      </c>
      <c r="F139" s="58" t="s">
        <v>238</v>
      </c>
      <c r="G139" s="61">
        <v>2018</v>
      </c>
      <c r="H139" s="61">
        <f t="shared" si="2"/>
        <v>2018</v>
      </c>
      <c r="I139" s="58" t="s">
        <v>218</v>
      </c>
      <c r="J139" s="61" t="s">
        <v>239</v>
      </c>
      <c r="K139" s="85"/>
      <c r="L139" s="2" t="s">
        <v>18</v>
      </c>
      <c r="AE139" s="2" t="str">
        <v>Diabetes mellitus</v>
      </c>
      <c r="AJ139" s="2" t="str">
        <v>delafloxacin</v>
      </c>
    </row>
    <row r="140" spans="1:36">
      <c r="A140" s="63">
        <v>140</v>
      </c>
      <c r="B140" s="59" t="s">
        <v>186</v>
      </c>
      <c r="C140" s="59" t="s">
        <v>187</v>
      </c>
      <c r="D140" s="60" t="s">
        <v>120</v>
      </c>
      <c r="E140" s="60" t="s">
        <v>13</v>
      </c>
      <c r="F140" s="60" t="s">
        <v>214</v>
      </c>
      <c r="G140" s="59">
        <v>2018</v>
      </c>
      <c r="H140" s="59">
        <f t="shared" si="2"/>
        <v>2018</v>
      </c>
      <c r="I140" s="60" t="s">
        <v>193</v>
      </c>
      <c r="J140" s="59" t="s">
        <v>205</v>
      </c>
      <c r="K140" s="84" t="s">
        <v>240</v>
      </c>
      <c r="L140" s="2" t="s">
        <v>18</v>
      </c>
      <c r="AE140" s="2" t="str">
        <v>Hidradenitis suppurativa (HS)</v>
      </c>
      <c r="AJ140" s="2" t="str">
        <v>Vaborem (meropenem &amp; vaborbactam)</v>
      </c>
    </row>
    <row r="141" spans="1:36">
      <c r="A141" s="64">
        <v>141</v>
      </c>
      <c r="B141" s="61" t="s">
        <v>186</v>
      </c>
      <c r="C141" s="61" t="s">
        <v>187</v>
      </c>
      <c r="D141" s="58" t="s">
        <v>120</v>
      </c>
      <c r="E141" s="58" t="s">
        <v>21</v>
      </c>
      <c r="F141" s="58" t="s">
        <v>229</v>
      </c>
      <c r="G141" s="61">
        <v>2018</v>
      </c>
      <c r="H141" s="61">
        <f t="shared" si="2"/>
        <v>2018</v>
      </c>
      <c r="I141" s="58" t="s">
        <v>193</v>
      </c>
      <c r="J141" s="61" t="s">
        <v>239</v>
      </c>
      <c r="K141" s="85"/>
      <c r="L141" s="2" t="s">
        <v>18</v>
      </c>
      <c r="AE141" s="2" t="str">
        <v>Prostate cancer (nmCRPC)</v>
      </c>
      <c r="AJ141" s="2" t="str">
        <v>Orbactiv (oritavacin)</v>
      </c>
    </row>
    <row r="142" spans="1:36">
      <c r="A142" s="63">
        <v>142</v>
      </c>
      <c r="B142" s="59" t="s">
        <v>186</v>
      </c>
      <c r="C142" s="59" t="s">
        <v>187</v>
      </c>
      <c r="D142" s="60" t="s">
        <v>120</v>
      </c>
      <c r="E142" s="60" t="s">
        <v>165</v>
      </c>
      <c r="F142" s="60" t="s">
        <v>241</v>
      </c>
      <c r="G142" s="59">
        <v>2018</v>
      </c>
      <c r="H142" s="59">
        <f t="shared" si="2"/>
        <v>2018</v>
      </c>
      <c r="I142" s="60" t="s">
        <v>193</v>
      </c>
      <c r="J142" s="59" t="s">
        <v>205</v>
      </c>
      <c r="K142" s="84" t="s">
        <v>242</v>
      </c>
      <c r="L142" s="2" t="s">
        <v>18</v>
      </c>
      <c r="AE142" s="2" t="str">
        <v>Primary immunodeficiency syndrome</v>
      </c>
      <c r="AJ142" s="2" t="str">
        <v>Mozobil (plerixafor)</v>
      </c>
    </row>
    <row r="143" spans="1:36">
      <c r="A143" s="64">
        <v>143</v>
      </c>
      <c r="B143" s="61" t="s">
        <v>186</v>
      </c>
      <c r="C143" s="61" t="s">
        <v>187</v>
      </c>
      <c r="D143" s="58" t="s">
        <v>120</v>
      </c>
      <c r="E143" s="58" t="s">
        <v>165</v>
      </c>
      <c r="F143" s="58" t="s">
        <v>241</v>
      </c>
      <c r="G143" s="61">
        <v>2018</v>
      </c>
      <c r="H143" s="61">
        <f t="shared" si="2"/>
        <v>2018</v>
      </c>
      <c r="I143" s="58" t="s">
        <v>193</v>
      </c>
      <c r="J143" s="61" t="s">
        <v>205</v>
      </c>
      <c r="K143" s="85" t="s">
        <v>243</v>
      </c>
      <c r="L143" s="2" t="s">
        <v>18</v>
      </c>
      <c r="AE143" s="2" t="str">
        <v>Tetanus prophylaxis wound</v>
      </c>
      <c r="AJ143" s="2" t="str">
        <v>Takhzyro (lanadelumab)</v>
      </c>
    </row>
    <row r="144" spans="1:36">
      <c r="A144" s="63">
        <v>144</v>
      </c>
      <c r="B144" s="59" t="s">
        <v>186</v>
      </c>
      <c r="C144" s="59" t="s">
        <v>187</v>
      </c>
      <c r="D144" s="60" t="s">
        <v>120</v>
      </c>
      <c r="E144" s="60" t="s">
        <v>21</v>
      </c>
      <c r="F144" s="60" t="s">
        <v>244</v>
      </c>
      <c r="G144" s="59">
        <v>2018</v>
      </c>
      <c r="H144" s="59">
        <f t="shared" si="2"/>
        <v>2018</v>
      </c>
      <c r="I144" s="60" t="s">
        <v>193</v>
      </c>
      <c r="J144" s="59" t="s">
        <v>200</v>
      </c>
      <c r="K144" s="84"/>
      <c r="L144" s="2" t="s">
        <v>18</v>
      </c>
      <c r="AE144" s="2" t="str">
        <v>Sjogren’s Syndrome</v>
      </c>
      <c r="AJ144" s="2" t="str">
        <v>Doptelet (avatrombopag)</v>
      </c>
    </row>
    <row r="145" spans="1:36">
      <c r="A145" s="64">
        <v>145</v>
      </c>
      <c r="B145" s="61" t="s">
        <v>186</v>
      </c>
      <c r="C145" s="61" t="s">
        <v>187</v>
      </c>
      <c r="D145" s="58" t="s">
        <v>120</v>
      </c>
      <c r="E145" s="58" t="s">
        <v>44</v>
      </c>
      <c r="F145" s="58" t="s">
        <v>245</v>
      </c>
      <c r="G145" s="61">
        <v>2018</v>
      </c>
      <c r="H145" s="61">
        <f t="shared" si="2"/>
        <v>2018</v>
      </c>
      <c r="I145" s="58" t="s">
        <v>246</v>
      </c>
      <c r="J145" s="61" t="s">
        <v>239</v>
      </c>
      <c r="K145" s="85" t="s">
        <v>247</v>
      </c>
      <c r="L145" s="2" t="s">
        <v>18</v>
      </c>
      <c r="AE145" s="2" t="str">
        <v>Mucopolysaccharidosis I</v>
      </c>
      <c r="AJ145" s="2" t="str">
        <v>Adcetris (brentuximab vedotin)</v>
      </c>
    </row>
    <row r="146" spans="1:36">
      <c r="A146" s="63">
        <v>146</v>
      </c>
      <c r="B146" s="59" t="s">
        <v>186</v>
      </c>
      <c r="C146" s="59" t="s">
        <v>187</v>
      </c>
      <c r="D146" s="60" t="s">
        <v>120</v>
      </c>
      <c r="E146" s="60" t="s">
        <v>13</v>
      </c>
      <c r="F146" s="60" t="s">
        <v>248</v>
      </c>
      <c r="G146" s="59">
        <v>2019</v>
      </c>
      <c r="H146" s="59">
        <f t="shared" si="2"/>
        <v>2019</v>
      </c>
      <c r="I146" s="60" t="s">
        <v>193</v>
      </c>
      <c r="J146" s="59" t="s">
        <v>85</v>
      </c>
      <c r="K146" s="84" t="s">
        <v>195</v>
      </c>
      <c r="L146" s="2" t="s">
        <v>18</v>
      </c>
      <c r="AE146" s="2" t="str">
        <v>Alterations of biligenetic function</v>
      </c>
      <c r="AJ146" s="2" t="str">
        <v>Trogarzo (ibalizumab)</v>
      </c>
    </row>
    <row r="147" spans="1:36">
      <c r="A147" s="64">
        <v>147</v>
      </c>
      <c r="B147" s="61" t="s">
        <v>186</v>
      </c>
      <c r="C147" s="61" t="s">
        <v>187</v>
      </c>
      <c r="D147" s="58" t="s">
        <v>120</v>
      </c>
      <c r="E147" s="58" t="s">
        <v>13</v>
      </c>
      <c r="F147" s="58" t="s">
        <v>249</v>
      </c>
      <c r="G147" s="61">
        <v>2019</v>
      </c>
      <c r="H147" s="61">
        <f t="shared" si="2"/>
        <v>2019</v>
      </c>
      <c r="I147" s="58" t="s">
        <v>193</v>
      </c>
      <c r="J147" s="61" t="s">
        <v>85</v>
      </c>
      <c r="K147" s="85" t="s">
        <v>250</v>
      </c>
      <c r="L147" s="2" t="s">
        <v>18</v>
      </c>
      <c r="AE147" s="2" t="str">
        <v>Primary haemophagocytic lymphohistiocytosis</v>
      </c>
      <c r="AJ147" s="2" t="str">
        <v>Orencia</v>
      </c>
    </row>
    <row r="148" spans="1:36">
      <c r="A148" s="63">
        <v>148</v>
      </c>
      <c r="B148" s="59" t="s">
        <v>186</v>
      </c>
      <c r="C148" s="59" t="s">
        <v>187</v>
      </c>
      <c r="D148" s="60" t="s">
        <v>120</v>
      </c>
      <c r="E148" s="60" t="s">
        <v>13</v>
      </c>
      <c r="F148" s="60" t="s">
        <v>251</v>
      </c>
      <c r="G148" s="59">
        <v>2019</v>
      </c>
      <c r="H148" s="59">
        <f t="shared" si="2"/>
        <v>2019</v>
      </c>
      <c r="I148" s="60" t="s">
        <v>193</v>
      </c>
      <c r="J148" s="59" t="s">
        <v>16</v>
      </c>
      <c r="K148" s="84" t="s">
        <v>252</v>
      </c>
      <c r="L148" s="2" t="s">
        <v>18</v>
      </c>
      <c r="AE148" s="2" t="str">
        <v>Prostate cancer (mHSPC)</v>
      </c>
      <c r="AJ148" s="2" t="str">
        <v>Opdivo (nivolumab)</v>
      </c>
    </row>
    <row r="149" spans="1:36">
      <c r="A149" s="64">
        <v>149</v>
      </c>
      <c r="B149" s="61" t="s">
        <v>186</v>
      </c>
      <c r="C149" s="61" t="s">
        <v>187</v>
      </c>
      <c r="D149" s="58" t="s">
        <v>120</v>
      </c>
      <c r="E149" s="58" t="s">
        <v>13</v>
      </c>
      <c r="F149" s="58" t="s">
        <v>251</v>
      </c>
      <c r="G149" s="61">
        <v>2019</v>
      </c>
      <c r="H149" s="61">
        <f t="shared" si="2"/>
        <v>2019</v>
      </c>
      <c r="I149" s="58" t="s">
        <v>193</v>
      </c>
      <c r="J149" s="61" t="s">
        <v>16</v>
      </c>
      <c r="K149" s="85" t="s">
        <v>253</v>
      </c>
      <c r="L149" s="2" t="s">
        <v>18</v>
      </c>
      <c r="AE149" s="2" t="str">
        <v>Progressive fibrosing interstitial lung disease (PF-ILD)</v>
      </c>
      <c r="AJ149" s="2" t="str">
        <v>Onureg (azacitidina)</v>
      </c>
    </row>
    <row r="150" spans="1:36">
      <c r="A150" s="63">
        <v>150</v>
      </c>
      <c r="B150" s="59" t="s">
        <v>186</v>
      </c>
      <c r="C150" s="59" t="s">
        <v>187</v>
      </c>
      <c r="D150" s="60" t="s">
        <v>120</v>
      </c>
      <c r="E150" s="60" t="s">
        <v>13</v>
      </c>
      <c r="F150" s="60" t="s">
        <v>254</v>
      </c>
      <c r="G150" s="59">
        <v>2019</v>
      </c>
      <c r="H150" s="59">
        <f t="shared" si="2"/>
        <v>2019</v>
      </c>
      <c r="I150" s="60" t="s">
        <v>217</v>
      </c>
      <c r="J150" s="59" t="s">
        <v>16</v>
      </c>
      <c r="K150" s="84" t="s">
        <v>255</v>
      </c>
      <c r="L150" s="2" t="s">
        <v>18</v>
      </c>
      <c r="AE150" s="2" t="str">
        <v>Systemic sclerosis with associated interstitial lung disease (SSc-ILD)</v>
      </c>
      <c r="AJ150" s="2" t="str">
        <v>Zeposia</v>
      </c>
    </row>
    <row r="151" spans="1:36">
      <c r="A151" s="64">
        <v>151</v>
      </c>
      <c r="B151" s="61" t="s">
        <v>186</v>
      </c>
      <c r="C151" s="61" t="s">
        <v>187</v>
      </c>
      <c r="D151" s="58" t="s">
        <v>120</v>
      </c>
      <c r="E151" s="58" t="s">
        <v>13</v>
      </c>
      <c r="F151" s="58" t="s">
        <v>256</v>
      </c>
      <c r="G151" s="61">
        <v>2019</v>
      </c>
      <c r="H151" s="61">
        <f t="shared" si="2"/>
        <v>2019</v>
      </c>
      <c r="I151" s="58" t="s">
        <v>193</v>
      </c>
      <c r="J151" s="61" t="s">
        <v>16</v>
      </c>
      <c r="K151" s="85" t="s">
        <v>257</v>
      </c>
      <c r="L151" s="2" t="s">
        <v>18</v>
      </c>
      <c r="AE151" s="2" t="str">
        <v>Ovarian Cancer</v>
      </c>
      <c r="AJ151" s="2" t="str">
        <v>Opdivo (nivolumab) + chemotherapy</v>
      </c>
    </row>
    <row r="152" spans="1:36">
      <c r="A152" s="63">
        <v>152</v>
      </c>
      <c r="B152" s="59" t="s">
        <v>186</v>
      </c>
      <c r="C152" s="59" t="s">
        <v>187</v>
      </c>
      <c r="D152" s="60" t="s">
        <v>120</v>
      </c>
      <c r="E152" s="60" t="s">
        <v>41</v>
      </c>
      <c r="F152" s="60" t="s">
        <v>258</v>
      </c>
      <c r="G152" s="59">
        <v>2019</v>
      </c>
      <c r="H152" s="59">
        <f t="shared" si="2"/>
        <v>2019</v>
      </c>
      <c r="I152" s="60" t="s">
        <v>193</v>
      </c>
      <c r="J152" s="59" t="s">
        <v>16</v>
      </c>
      <c r="K152" s="84" t="s">
        <v>259</v>
      </c>
      <c r="L152" s="2" t="s">
        <v>18</v>
      </c>
      <c r="AE152" s="2" t="str">
        <v>Endometrial cancer</v>
      </c>
      <c r="AJ152" s="2" t="str">
        <v>Opdivo (nivolumab) + Yervoy (ipilimumab)</v>
      </c>
    </row>
    <row r="153" spans="1:36">
      <c r="A153" s="64">
        <v>153</v>
      </c>
      <c r="B153" s="61" t="s">
        <v>186</v>
      </c>
      <c r="C153" s="61" t="s">
        <v>187</v>
      </c>
      <c r="D153" s="58" t="s">
        <v>120</v>
      </c>
      <c r="E153" s="58" t="s">
        <v>13</v>
      </c>
      <c r="F153" s="58" t="s">
        <v>260</v>
      </c>
      <c r="G153" s="61">
        <v>2019</v>
      </c>
      <c r="H153" s="61">
        <f t="shared" si="2"/>
        <v>2019</v>
      </c>
      <c r="I153" s="58" t="s">
        <v>193</v>
      </c>
      <c r="J153" s="61" t="s">
        <v>16</v>
      </c>
      <c r="K153" s="85" t="s">
        <v>261</v>
      </c>
      <c r="L153" s="2" t="s">
        <v>18</v>
      </c>
      <c r="AE153" s="2" t="str">
        <v>Bleeding during surgery</v>
      </c>
      <c r="AJ153" s="2" t="str">
        <v>thalidomide</v>
      </c>
    </row>
    <row r="154" spans="1:36">
      <c r="A154" s="63">
        <v>154</v>
      </c>
      <c r="B154" s="59" t="s">
        <v>186</v>
      </c>
      <c r="C154" s="59" t="s">
        <v>187</v>
      </c>
      <c r="D154" s="60" t="s">
        <v>120</v>
      </c>
      <c r="E154" s="60" t="s">
        <v>13</v>
      </c>
      <c r="F154" s="60" t="s">
        <v>262</v>
      </c>
      <c r="G154" s="59">
        <v>2019</v>
      </c>
      <c r="H154" s="59">
        <f t="shared" si="2"/>
        <v>2019</v>
      </c>
      <c r="I154" s="60" t="s">
        <v>193</v>
      </c>
      <c r="J154" s="59" t="s">
        <v>16</v>
      </c>
      <c r="K154" s="84" t="s">
        <v>261</v>
      </c>
      <c r="L154" s="2" t="s">
        <v>18</v>
      </c>
      <c r="AE154" s="2" t="str">
        <v xml:space="preserve">Acute bacterial skin and skin structure infections (ABSSSI) </v>
      </c>
      <c r="AJ154" s="2" t="str">
        <v>Abecma (idecabtagene vicleucel) CAR-T</v>
      </c>
    </row>
    <row r="155" spans="1:36">
      <c r="A155" s="64">
        <v>155</v>
      </c>
      <c r="B155" s="61" t="s">
        <v>186</v>
      </c>
      <c r="C155" s="61" t="s">
        <v>187</v>
      </c>
      <c r="D155" s="58" t="s">
        <v>120</v>
      </c>
      <c r="E155" s="58" t="s">
        <v>13</v>
      </c>
      <c r="F155" s="58" t="s">
        <v>263</v>
      </c>
      <c r="G155" s="61">
        <v>2019</v>
      </c>
      <c r="H155" s="61">
        <f t="shared" si="2"/>
        <v>2019</v>
      </c>
      <c r="I155" s="58" t="s">
        <v>193</v>
      </c>
      <c r="J155" s="61" t="s">
        <v>16</v>
      </c>
      <c r="K155" s="85" t="s">
        <v>261</v>
      </c>
      <c r="L155" s="2" t="s">
        <v>18</v>
      </c>
      <c r="AE155" s="2" t="str">
        <v>Bacterial infections</v>
      </c>
      <c r="AJ155" s="2" t="str">
        <v>Breyanzi lisocabtagene maraleucel) CAR-T</v>
      </c>
    </row>
    <row r="156" spans="1:36">
      <c r="A156" s="63">
        <v>156</v>
      </c>
      <c r="B156" s="59" t="s">
        <v>186</v>
      </c>
      <c r="C156" s="59" t="s">
        <v>187</v>
      </c>
      <c r="D156" s="60" t="s">
        <v>120</v>
      </c>
      <c r="E156" s="60" t="s">
        <v>13</v>
      </c>
      <c r="F156" s="60" t="s">
        <v>264</v>
      </c>
      <c r="G156" s="59">
        <v>2019</v>
      </c>
      <c r="H156" s="59">
        <f t="shared" si="2"/>
        <v>2019</v>
      </c>
      <c r="I156" s="60" t="s">
        <v>193</v>
      </c>
      <c r="J156" s="59" t="s">
        <v>16</v>
      </c>
      <c r="K156" s="84" t="s">
        <v>265</v>
      </c>
      <c r="L156" s="2" t="s">
        <v>18</v>
      </c>
      <c r="AE156" s="2" t="str">
        <v>Multiple myeloma, lymphoma</v>
      </c>
      <c r="AJ156" s="2" t="str">
        <v>tafasitamab</v>
      </c>
    </row>
    <row r="157" spans="1:36">
      <c r="A157" s="64">
        <v>157</v>
      </c>
      <c r="B157" s="61" t="s">
        <v>186</v>
      </c>
      <c r="C157" s="61" t="s">
        <v>187</v>
      </c>
      <c r="D157" s="58" t="s">
        <v>120</v>
      </c>
      <c r="E157" s="58" t="s">
        <v>76</v>
      </c>
      <c r="F157" s="58" t="s">
        <v>266</v>
      </c>
      <c r="G157" s="61">
        <v>2019</v>
      </c>
      <c r="H157" s="61">
        <f t="shared" si="2"/>
        <v>2019</v>
      </c>
      <c r="I157" s="58" t="s">
        <v>193</v>
      </c>
      <c r="J157" s="61" t="s">
        <v>16</v>
      </c>
      <c r="K157" s="85" t="s">
        <v>267</v>
      </c>
      <c r="L157" s="2" t="s">
        <v>18</v>
      </c>
      <c r="AE157" s="2" t="str">
        <v>Hereditary angioedema</v>
      </c>
      <c r="AJ157" s="2" t="str">
        <v>pemigatinib</v>
      </c>
    </row>
    <row r="158" spans="1:36">
      <c r="A158" s="63">
        <v>158</v>
      </c>
      <c r="B158" s="59" t="s">
        <v>186</v>
      </c>
      <c r="C158" s="59" t="s">
        <v>187</v>
      </c>
      <c r="D158" s="60" t="s">
        <v>120</v>
      </c>
      <c r="E158" s="60" t="s">
        <v>76</v>
      </c>
      <c r="F158" s="60" t="s">
        <v>268</v>
      </c>
      <c r="G158" s="59">
        <v>2019</v>
      </c>
      <c r="H158" s="59">
        <f t="shared" si="2"/>
        <v>2019</v>
      </c>
      <c r="I158" s="60" t="s">
        <v>193</v>
      </c>
      <c r="J158" s="59" t="s">
        <v>205</v>
      </c>
      <c r="K158" s="84" t="s">
        <v>269</v>
      </c>
      <c r="L158" s="2" t="s">
        <v>18</v>
      </c>
      <c r="AE158" s="2" t="str">
        <v>Thrombocytopenia in patients with chronic liver disease (CLD)</v>
      </c>
      <c r="AJ158" s="2" t="str">
        <v>Fibriclotte</v>
      </c>
    </row>
    <row r="159" spans="1:36">
      <c r="A159" s="64">
        <v>159</v>
      </c>
      <c r="B159" s="61" t="s">
        <v>186</v>
      </c>
      <c r="C159" s="61" t="s">
        <v>187</v>
      </c>
      <c r="D159" s="58" t="s">
        <v>120</v>
      </c>
      <c r="E159" s="58" t="s">
        <v>60</v>
      </c>
      <c r="F159" s="58" t="s">
        <v>37</v>
      </c>
      <c r="G159" s="61">
        <v>2019</v>
      </c>
      <c r="H159" s="61">
        <f t="shared" si="2"/>
        <v>2019</v>
      </c>
      <c r="I159" s="58" t="s">
        <v>193</v>
      </c>
      <c r="J159" s="61" t="s">
        <v>200</v>
      </c>
      <c r="K159" s="85" t="s">
        <v>270</v>
      </c>
      <c r="L159" s="2" t="s">
        <v>18</v>
      </c>
      <c r="AE159" s="2" t="str">
        <v>Hodgkin Lymphoma</v>
      </c>
      <c r="AJ159" s="2" t="str">
        <v>Iqymune</v>
      </c>
    </row>
    <row r="160" spans="1:36">
      <c r="A160" s="63">
        <v>160</v>
      </c>
      <c r="B160" s="59" t="s">
        <v>186</v>
      </c>
      <c r="C160" s="59" t="s">
        <v>187</v>
      </c>
      <c r="D160" s="60" t="s">
        <v>120</v>
      </c>
      <c r="E160" s="60" t="s">
        <v>32</v>
      </c>
      <c r="F160" s="60" t="s">
        <v>271</v>
      </c>
      <c r="G160" s="59">
        <v>2020</v>
      </c>
      <c r="H160" s="59">
        <f t="shared" si="2"/>
        <v>2020</v>
      </c>
      <c r="I160" s="60" t="s">
        <v>193</v>
      </c>
      <c r="J160" s="59" t="s">
        <v>16</v>
      </c>
      <c r="K160" s="84" t="s">
        <v>272</v>
      </c>
      <c r="L160" s="2" t="s">
        <v>18</v>
      </c>
      <c r="AE160" s="2" t="str">
        <v>Human immunodeficiency virus (HIV)</v>
      </c>
      <c r="AJ160" s="2" t="str">
        <v>Sarclisa (isatuximab)</v>
      </c>
    </row>
    <row r="161" spans="1:36">
      <c r="A161" s="64">
        <v>161</v>
      </c>
      <c r="B161" s="61" t="s">
        <v>186</v>
      </c>
      <c r="C161" s="61" t="s">
        <v>187</v>
      </c>
      <c r="D161" s="58" t="s">
        <v>120</v>
      </c>
      <c r="E161" s="58" t="s">
        <v>13</v>
      </c>
      <c r="F161" s="58" t="s">
        <v>273</v>
      </c>
      <c r="G161" s="61">
        <v>2020</v>
      </c>
      <c r="H161" s="61">
        <f t="shared" si="2"/>
        <v>2020</v>
      </c>
      <c r="I161" s="58" t="s">
        <v>193</v>
      </c>
      <c r="J161" s="61" t="s">
        <v>16</v>
      </c>
      <c r="K161" s="85" t="s">
        <v>274</v>
      </c>
      <c r="L161" s="2" t="s">
        <v>18</v>
      </c>
      <c r="AE161" s="2" t="str">
        <v>Renal Cell carcinoma</v>
      </c>
      <c r="AJ161" s="2" t="str">
        <v>Erytropoetine (EPO)</v>
      </c>
    </row>
    <row r="162" spans="1:36">
      <c r="A162" s="63">
        <v>162</v>
      </c>
      <c r="B162" s="59" t="s">
        <v>186</v>
      </c>
      <c r="C162" s="59" t="s">
        <v>187</v>
      </c>
      <c r="D162" s="60" t="s">
        <v>120</v>
      </c>
      <c r="E162" s="60" t="s">
        <v>13</v>
      </c>
      <c r="F162" s="60" t="s">
        <v>128</v>
      </c>
      <c r="G162" s="59">
        <v>2020</v>
      </c>
      <c r="H162" s="59">
        <f t="shared" si="2"/>
        <v>2020</v>
      </c>
      <c r="I162" s="60" t="s">
        <v>275</v>
      </c>
      <c r="J162" s="59" t="s">
        <v>239</v>
      </c>
      <c r="K162" s="84" t="s">
        <v>276</v>
      </c>
      <c r="L162" s="2" t="s">
        <v>18</v>
      </c>
      <c r="AE162" s="2" t="str">
        <v>Ulcerative colitis</v>
      </c>
      <c r="AJ162" s="2" t="str">
        <v>Ozanimod</v>
      </c>
    </row>
    <row r="163" spans="1:36">
      <c r="A163" s="64">
        <v>163</v>
      </c>
      <c r="B163" s="61" t="s">
        <v>186</v>
      </c>
      <c r="C163" s="61" t="s">
        <v>187</v>
      </c>
      <c r="D163" s="58" t="s">
        <v>120</v>
      </c>
      <c r="E163" s="58" t="s">
        <v>13</v>
      </c>
      <c r="F163" s="58" t="s">
        <v>251</v>
      </c>
      <c r="G163" s="61">
        <v>2020</v>
      </c>
      <c r="H163" s="61">
        <f t="shared" si="2"/>
        <v>2020</v>
      </c>
      <c r="I163" s="58" t="s">
        <v>277</v>
      </c>
      <c r="J163" s="61" t="s">
        <v>16</v>
      </c>
      <c r="K163" s="85" t="s">
        <v>278</v>
      </c>
      <c r="L163" s="2" t="s">
        <v>18</v>
      </c>
      <c r="AE163" s="2" t="str">
        <v>Gastric cancer</v>
      </c>
      <c r="AJ163" s="2" t="str">
        <v>Darolutamide</v>
      </c>
    </row>
    <row r="164" spans="1:36">
      <c r="A164" s="63">
        <v>164</v>
      </c>
      <c r="B164" s="59" t="s">
        <v>186</v>
      </c>
      <c r="C164" s="59" t="s">
        <v>187</v>
      </c>
      <c r="D164" s="60" t="s">
        <v>120</v>
      </c>
      <c r="E164" s="60" t="s">
        <v>13</v>
      </c>
      <c r="F164" s="60" t="s">
        <v>279</v>
      </c>
      <c r="G164" s="59">
        <v>2020</v>
      </c>
      <c r="H164" s="59">
        <f t="shared" si="2"/>
        <v>2020</v>
      </c>
      <c r="I164" s="60" t="s">
        <v>193</v>
      </c>
      <c r="J164" s="59" t="s">
        <v>85</v>
      </c>
      <c r="K164" s="84" t="s">
        <v>280</v>
      </c>
      <c r="L164" s="2" t="s">
        <v>18</v>
      </c>
      <c r="AE164" s="2" t="str">
        <v>Bladder cancer</v>
      </c>
      <c r="AJ164" s="2" t="str">
        <v>Olumiant (baricitinib)</v>
      </c>
    </row>
    <row r="165" spans="1:36">
      <c r="A165" s="64">
        <v>165</v>
      </c>
      <c r="B165" s="61" t="s">
        <v>186</v>
      </c>
      <c r="C165" s="61" t="s">
        <v>187</v>
      </c>
      <c r="D165" s="58" t="s">
        <v>120</v>
      </c>
      <c r="E165" s="58" t="s">
        <v>13</v>
      </c>
      <c r="F165" s="58" t="s">
        <v>281</v>
      </c>
      <c r="G165" s="61">
        <v>2020</v>
      </c>
      <c r="H165" s="61">
        <f t="shared" si="2"/>
        <v>2020</v>
      </c>
      <c r="I165" s="58" t="s">
        <v>193</v>
      </c>
      <c r="J165" s="61" t="s">
        <v>205</v>
      </c>
      <c r="K165" s="85" t="s">
        <v>282</v>
      </c>
      <c r="L165" s="2" t="s">
        <v>18</v>
      </c>
      <c r="AE165" s="2" t="str">
        <v>Mesothelioma</v>
      </c>
      <c r="AJ165" s="2" t="str">
        <v>Xarelto (rivaroxaban)</v>
      </c>
    </row>
    <row r="166" spans="1:36">
      <c r="A166" s="63">
        <v>166</v>
      </c>
      <c r="B166" s="59" t="s">
        <v>186</v>
      </c>
      <c r="C166" s="59" t="s">
        <v>187</v>
      </c>
      <c r="D166" s="60" t="s">
        <v>120</v>
      </c>
      <c r="E166" s="60" t="s">
        <v>172</v>
      </c>
      <c r="F166" s="60" t="s">
        <v>204</v>
      </c>
      <c r="G166" s="59">
        <v>2020</v>
      </c>
      <c r="H166" s="59">
        <f t="shared" si="2"/>
        <v>2020</v>
      </c>
      <c r="I166" s="60" t="s">
        <v>193</v>
      </c>
      <c r="J166" s="59" t="s">
        <v>85</v>
      </c>
      <c r="K166" s="84" t="s">
        <v>206</v>
      </c>
      <c r="L166" s="2" t="s">
        <v>18</v>
      </c>
      <c r="AE166" s="2" t="str">
        <v>Colon cancer</v>
      </c>
      <c r="AJ166" s="2" t="str">
        <v>Binocrit (epoetin alpha)</v>
      </c>
    </row>
    <row r="167" spans="1:36">
      <c r="A167" s="64">
        <v>167</v>
      </c>
      <c r="B167" s="61" t="s">
        <v>186</v>
      </c>
      <c r="C167" s="61" t="s">
        <v>187</v>
      </c>
      <c r="D167" s="58" t="s">
        <v>120</v>
      </c>
      <c r="E167" s="58" t="s">
        <v>13</v>
      </c>
      <c r="F167" s="58" t="s">
        <v>283</v>
      </c>
      <c r="G167" s="61">
        <v>2020</v>
      </c>
      <c r="H167" s="61">
        <f t="shared" si="2"/>
        <v>2020</v>
      </c>
      <c r="I167" s="58" t="s">
        <v>193</v>
      </c>
      <c r="J167" s="61" t="s">
        <v>200</v>
      </c>
      <c r="K167" s="85" t="s">
        <v>284</v>
      </c>
      <c r="L167" s="2" t="s">
        <v>18</v>
      </c>
      <c r="AE167" s="2" t="str">
        <v>Esophageal Cancer</v>
      </c>
      <c r="AJ167" s="2" t="str">
        <v xml:space="preserve">Luxturna (voretigene neparvovec-rzyl) </v>
      </c>
    </row>
    <row r="168" spans="1:36">
      <c r="A168" s="63">
        <v>168</v>
      </c>
      <c r="B168" s="59" t="s">
        <v>186</v>
      </c>
      <c r="C168" s="59" t="s">
        <v>187</v>
      </c>
      <c r="D168" s="60" t="s">
        <v>120</v>
      </c>
      <c r="E168" s="60" t="s">
        <v>13</v>
      </c>
      <c r="F168" s="60" t="s">
        <v>285</v>
      </c>
      <c r="G168" s="59">
        <v>2020</v>
      </c>
      <c r="H168" s="59">
        <f t="shared" si="2"/>
        <v>2020</v>
      </c>
      <c r="I168" s="60" t="s">
        <v>286</v>
      </c>
      <c r="J168" s="59" t="s">
        <v>239</v>
      </c>
      <c r="K168" s="84" t="s">
        <v>287</v>
      </c>
      <c r="L168" s="2" t="s">
        <v>18</v>
      </c>
      <c r="AE168" s="2" t="str">
        <v>Large B-cell lymphoma</v>
      </c>
      <c r="AJ168" s="2" t="str">
        <v>Ajovy (fremanezumab)</v>
      </c>
    </row>
    <row r="169" spans="1:36">
      <c r="A169" s="64">
        <v>169</v>
      </c>
      <c r="B169" s="61" t="s">
        <v>186</v>
      </c>
      <c r="C169" s="61" t="s">
        <v>187</v>
      </c>
      <c r="D169" s="58" t="s">
        <v>120</v>
      </c>
      <c r="E169" s="58" t="s">
        <v>13</v>
      </c>
      <c r="F169" s="58" t="s">
        <v>285</v>
      </c>
      <c r="G169" s="61">
        <v>2020</v>
      </c>
      <c r="H169" s="61">
        <f t="shared" si="2"/>
        <v>2020</v>
      </c>
      <c r="I169" s="58" t="s">
        <v>193</v>
      </c>
      <c r="J169" s="61" t="s">
        <v>288</v>
      </c>
      <c r="K169" s="85" t="s">
        <v>287</v>
      </c>
      <c r="L169" s="2" t="s">
        <v>18</v>
      </c>
      <c r="AE169" s="2" t="str">
        <v>Diffuse large B-cell lymphoma (DLBCL)</v>
      </c>
      <c r="AJ169" s="2" t="str">
        <v>Lucentis (ranibizumab)</v>
      </c>
    </row>
    <row r="170" spans="1:36">
      <c r="A170" s="63">
        <v>170</v>
      </c>
      <c r="B170" s="59" t="s">
        <v>186</v>
      </c>
      <c r="C170" s="59" t="s">
        <v>187</v>
      </c>
      <c r="D170" s="60" t="s">
        <v>120</v>
      </c>
      <c r="E170" s="60" t="s">
        <v>41</v>
      </c>
      <c r="F170" s="60" t="s">
        <v>289</v>
      </c>
      <c r="G170" s="59">
        <v>2020</v>
      </c>
      <c r="H170" s="59">
        <f t="shared" si="2"/>
        <v>2020</v>
      </c>
      <c r="I170" s="60" t="s">
        <v>193</v>
      </c>
      <c r="J170" s="59" t="s">
        <v>85</v>
      </c>
      <c r="K170" s="84" t="s">
        <v>226</v>
      </c>
      <c r="L170" s="2" t="s">
        <v>18</v>
      </c>
      <c r="AE170" s="2" t="str">
        <v>Cholangiocarcinoma</v>
      </c>
      <c r="AJ170" s="2" t="str">
        <v>Beovu (brolucizumab)</v>
      </c>
    </row>
    <row r="171" spans="1:36">
      <c r="A171" s="64">
        <v>171</v>
      </c>
      <c r="B171" s="61" t="s">
        <v>186</v>
      </c>
      <c r="C171" s="61" t="s">
        <v>187</v>
      </c>
      <c r="D171" s="58" t="s">
        <v>120</v>
      </c>
      <c r="E171" s="58" t="s">
        <v>290</v>
      </c>
      <c r="F171" s="58" t="s">
        <v>291</v>
      </c>
      <c r="G171" s="61">
        <v>2020</v>
      </c>
      <c r="H171" s="61">
        <f t="shared" si="2"/>
        <v>2020</v>
      </c>
      <c r="I171" s="58" t="s">
        <v>292</v>
      </c>
      <c r="J171" s="61" t="s">
        <v>239</v>
      </c>
      <c r="K171" s="85" t="s">
        <v>291</v>
      </c>
      <c r="L171" s="2" t="s">
        <v>18</v>
      </c>
      <c r="AE171" s="2" t="str">
        <v>Congenital hypo-/afibrinogenaemia</v>
      </c>
      <c r="AJ171" s="2" t="str">
        <v>Tafinlar+Mekinist (dabrafenib+trametinib)</v>
      </c>
    </row>
    <row r="172" spans="1:36">
      <c r="A172" s="63">
        <v>172</v>
      </c>
      <c r="B172" s="59" t="s">
        <v>186</v>
      </c>
      <c r="C172" s="59" t="s">
        <v>187</v>
      </c>
      <c r="D172" s="60" t="s">
        <v>120</v>
      </c>
      <c r="E172" s="60" t="s">
        <v>172</v>
      </c>
      <c r="F172" s="60" t="s">
        <v>293</v>
      </c>
      <c r="G172" s="59">
        <v>2020</v>
      </c>
      <c r="H172" s="59">
        <f t="shared" si="2"/>
        <v>2020</v>
      </c>
      <c r="I172" s="60" t="s">
        <v>218</v>
      </c>
      <c r="J172" s="59" t="s">
        <v>16</v>
      </c>
      <c r="K172" s="84" t="s">
        <v>294</v>
      </c>
      <c r="L172" s="2" t="s">
        <v>18</v>
      </c>
      <c r="AE172" s="2" t="str">
        <v>Rare Disease</v>
      </c>
      <c r="AJ172" s="2" t="str">
        <v>Mayzent (siponimod)</v>
      </c>
    </row>
    <row r="173" spans="1:36">
      <c r="A173" s="64">
        <v>173</v>
      </c>
      <c r="B173" s="61" t="s">
        <v>186</v>
      </c>
      <c r="C173" s="61" t="s">
        <v>187</v>
      </c>
      <c r="D173" s="58" t="s">
        <v>245</v>
      </c>
      <c r="E173" s="58" t="s">
        <v>71</v>
      </c>
      <c r="F173" s="58" t="s">
        <v>295</v>
      </c>
      <c r="G173" s="61">
        <v>2020</v>
      </c>
      <c r="H173" s="61">
        <f t="shared" si="2"/>
        <v>2020</v>
      </c>
      <c r="I173" s="58" t="s">
        <v>193</v>
      </c>
      <c r="J173" s="61" t="s">
        <v>16</v>
      </c>
      <c r="K173" s="85" t="s">
        <v>296</v>
      </c>
      <c r="L173" s="2" t="s">
        <v>18</v>
      </c>
      <c r="AE173" s="2" t="str">
        <v>Female Health</v>
      </c>
      <c r="AJ173" s="2" t="str">
        <v>Otezla (apremilast)</v>
      </c>
    </row>
    <row r="174" spans="1:36">
      <c r="A174" s="63">
        <v>174</v>
      </c>
      <c r="B174" s="59" t="s">
        <v>186</v>
      </c>
      <c r="C174" s="59" t="s">
        <v>187</v>
      </c>
      <c r="D174" s="60" t="s">
        <v>120</v>
      </c>
      <c r="E174" s="60" t="s">
        <v>172</v>
      </c>
      <c r="F174" s="60" t="s">
        <v>297</v>
      </c>
      <c r="G174" s="59">
        <v>2020</v>
      </c>
      <c r="H174" s="59">
        <f t="shared" si="2"/>
        <v>2020</v>
      </c>
      <c r="I174" s="60" t="s">
        <v>298</v>
      </c>
      <c r="J174" s="59" t="s">
        <v>16</v>
      </c>
      <c r="K174" s="84" t="s">
        <v>299</v>
      </c>
      <c r="L174" s="2" t="s">
        <v>18</v>
      </c>
      <c r="AE174" s="2" t="str">
        <v>Autoimmune biologics</v>
      </c>
      <c r="AJ174" s="2" t="str">
        <v xml:space="preserve">Entresto (sacubitril/ valsartan) </v>
      </c>
    </row>
    <row r="175" spans="1:36">
      <c r="A175" s="64">
        <v>175</v>
      </c>
      <c r="B175" s="61" t="s">
        <v>186</v>
      </c>
      <c r="C175" s="61" t="s">
        <v>187</v>
      </c>
      <c r="D175" s="58" t="s">
        <v>120</v>
      </c>
      <c r="E175" s="58" t="s">
        <v>86</v>
      </c>
      <c r="F175" s="58"/>
      <c r="G175" s="61">
        <v>2020</v>
      </c>
      <c r="H175" s="61">
        <f t="shared" si="2"/>
        <v>2020</v>
      </c>
      <c r="I175" s="58" t="s">
        <v>193</v>
      </c>
      <c r="J175" s="61"/>
      <c r="K175" s="85" t="s">
        <v>300</v>
      </c>
      <c r="L175" s="2" t="s">
        <v>18</v>
      </c>
      <c r="AE175" s="2" t="str">
        <v>Diabetes</v>
      </c>
      <c r="AJ175" s="2" t="str">
        <v>Havetra (enoxaparin)</v>
      </c>
    </row>
    <row r="176" spans="1:36">
      <c r="A176" s="63">
        <v>176</v>
      </c>
      <c r="B176" s="59" t="s">
        <v>186</v>
      </c>
      <c r="C176" s="59" t="s">
        <v>187</v>
      </c>
      <c r="D176" s="60" t="s">
        <v>120</v>
      </c>
      <c r="E176" s="60" t="s">
        <v>13</v>
      </c>
      <c r="F176" s="60" t="s">
        <v>301</v>
      </c>
      <c r="G176" s="59">
        <v>2020</v>
      </c>
      <c r="H176" s="59">
        <f t="shared" si="2"/>
        <v>2020</v>
      </c>
      <c r="I176" s="60" t="s">
        <v>275</v>
      </c>
      <c r="J176" s="59" t="s">
        <v>16</v>
      </c>
      <c r="K176" s="84" t="s">
        <v>302</v>
      </c>
      <c r="L176" s="2" t="s">
        <v>18</v>
      </c>
      <c r="AE176" s="2" t="str">
        <v>Pain</v>
      </c>
      <c r="AJ176" s="2" t="str">
        <v>Nubeqa (darolutamide)</v>
      </c>
    </row>
    <row r="177" spans="1:36">
      <c r="A177" s="64">
        <v>177</v>
      </c>
      <c r="B177" s="61" t="s">
        <v>186</v>
      </c>
      <c r="C177" s="61" t="s">
        <v>187</v>
      </c>
      <c r="D177" s="58" t="s">
        <v>120</v>
      </c>
      <c r="E177" s="58" t="s">
        <v>44</v>
      </c>
      <c r="F177" s="58" t="s">
        <v>303</v>
      </c>
      <c r="G177" s="61">
        <v>2020</v>
      </c>
      <c r="H177" s="61">
        <f t="shared" si="2"/>
        <v>2020</v>
      </c>
      <c r="I177" s="58" t="s">
        <v>304</v>
      </c>
      <c r="J177" s="61" t="s">
        <v>239</v>
      </c>
      <c r="K177" s="85"/>
      <c r="L177" s="2" t="s">
        <v>18</v>
      </c>
      <c r="AE177" s="2" t="str">
        <v>Antibiotics, Antifungals</v>
      </c>
      <c r="AJ177" s="2" t="str">
        <v>Vitrakvi (larotrectinib)</v>
      </c>
    </row>
    <row r="178" spans="1:36">
      <c r="A178" s="63">
        <v>178</v>
      </c>
      <c r="B178" s="59" t="s">
        <v>186</v>
      </c>
      <c r="C178" s="59" t="s">
        <v>187</v>
      </c>
      <c r="D178" s="60" t="s">
        <v>120</v>
      </c>
      <c r="E178" s="60" t="s">
        <v>44</v>
      </c>
      <c r="F178" s="60" t="s">
        <v>303</v>
      </c>
      <c r="G178" s="59">
        <v>2020</v>
      </c>
      <c r="H178" s="59">
        <f t="shared" si="2"/>
        <v>2020</v>
      </c>
      <c r="I178" s="60" t="s">
        <v>305</v>
      </c>
      <c r="J178" s="59" t="s">
        <v>239</v>
      </c>
      <c r="K178" s="84"/>
      <c r="L178" s="2" t="s">
        <v>18</v>
      </c>
      <c r="AE178" s="2" t="str">
        <v>Growth Hormone</v>
      </c>
      <c r="AJ178" s="2" t="str">
        <v>Tremfya (guselkumab)</v>
      </c>
    </row>
    <row r="179" spans="1:36">
      <c r="A179" s="64">
        <v>179</v>
      </c>
      <c r="B179" s="61" t="s">
        <v>186</v>
      </c>
      <c r="C179" s="61" t="s">
        <v>187</v>
      </c>
      <c r="D179" s="58" t="s">
        <v>120</v>
      </c>
      <c r="E179" s="58" t="s">
        <v>13</v>
      </c>
      <c r="F179" s="58" t="s">
        <v>306</v>
      </c>
      <c r="G179" s="61">
        <v>2020</v>
      </c>
      <c r="H179" s="61">
        <f t="shared" si="2"/>
        <v>2020</v>
      </c>
      <c r="I179" s="58" t="s">
        <v>193</v>
      </c>
      <c r="J179" s="61" t="s">
        <v>85</v>
      </c>
      <c r="K179" s="85" t="s">
        <v>307</v>
      </c>
      <c r="L179" s="2" t="s">
        <v>18</v>
      </c>
      <c r="AE179" s="2" t="str">
        <v>Rheumatic disorders</v>
      </c>
      <c r="AJ179" s="2" t="str">
        <v>Jakavi (ruxolitinib)</v>
      </c>
    </row>
    <row r="180" spans="1:36">
      <c r="A180" s="63">
        <v>180</v>
      </c>
      <c r="B180" s="59" t="s">
        <v>186</v>
      </c>
      <c r="C180" s="59" t="s">
        <v>187</v>
      </c>
      <c r="D180" s="60" t="s">
        <v>120</v>
      </c>
      <c r="E180" s="60" t="s">
        <v>13</v>
      </c>
      <c r="F180" s="60" t="s">
        <v>273</v>
      </c>
      <c r="G180" s="59">
        <v>2020</v>
      </c>
      <c r="H180" s="59">
        <f t="shared" si="2"/>
        <v>2020</v>
      </c>
      <c r="I180" s="60" t="s">
        <v>193</v>
      </c>
      <c r="J180" s="59" t="s">
        <v>85</v>
      </c>
      <c r="K180" s="84" t="s">
        <v>307</v>
      </c>
      <c r="L180" s="2" t="s">
        <v>18</v>
      </c>
      <c r="AE180" s="2" t="str">
        <v>Immunomodulators</v>
      </c>
      <c r="AJ180" s="2" t="str">
        <v>Tegsedi (inotersen)</v>
      </c>
    </row>
    <row r="181" spans="1:36">
      <c r="A181" s="64">
        <v>181</v>
      </c>
      <c r="B181" s="61" t="s">
        <v>186</v>
      </c>
      <c r="C181" s="61" t="s">
        <v>187</v>
      </c>
      <c r="D181" s="58" t="s">
        <v>120</v>
      </c>
      <c r="E181" s="58" t="s">
        <v>13</v>
      </c>
      <c r="F181" s="58" t="s">
        <v>308</v>
      </c>
      <c r="G181" s="61">
        <v>2020</v>
      </c>
      <c r="H181" s="61">
        <f t="shared" si="2"/>
        <v>2020</v>
      </c>
      <c r="I181" s="58" t="s">
        <v>193</v>
      </c>
      <c r="J181" s="61" t="s">
        <v>85</v>
      </c>
      <c r="K181" s="85" t="s">
        <v>265</v>
      </c>
      <c r="L181" s="2" t="s">
        <v>18</v>
      </c>
      <c r="AE181" s="2" t="str">
        <v>Transplantation</v>
      </c>
      <c r="AJ181" s="2" t="str">
        <v>Cacipliq</v>
      </c>
    </row>
    <row r="182" spans="1:36">
      <c r="A182" s="63">
        <v>182</v>
      </c>
      <c r="B182" s="59" t="s">
        <v>186</v>
      </c>
      <c r="C182" s="59" t="s">
        <v>187</v>
      </c>
      <c r="D182" s="60" t="s">
        <v>120</v>
      </c>
      <c r="E182" s="60" t="s">
        <v>13</v>
      </c>
      <c r="F182" s="60" t="s">
        <v>309</v>
      </c>
      <c r="G182" s="59">
        <v>2020</v>
      </c>
      <c r="H182" s="59">
        <f t="shared" si="2"/>
        <v>2020</v>
      </c>
      <c r="I182" s="60" t="s">
        <v>193</v>
      </c>
      <c r="J182" s="59" t="s">
        <v>85</v>
      </c>
      <c r="K182" s="84" t="s">
        <v>265</v>
      </c>
      <c r="L182" s="2" t="s">
        <v>18</v>
      </c>
      <c r="AE182" s="2" t="str">
        <v>Erytropoetine (EPO)</v>
      </c>
      <c r="AJ182" s="2" t="str">
        <v>Bariatric surgery</v>
      </c>
    </row>
    <row r="183" spans="1:36">
      <c r="A183" s="64">
        <v>183</v>
      </c>
      <c r="B183" s="61" t="s">
        <v>186</v>
      </c>
      <c r="C183" s="61" t="s">
        <v>187</v>
      </c>
      <c r="D183" s="58" t="s">
        <v>120</v>
      </c>
      <c r="E183" s="58" t="s">
        <v>60</v>
      </c>
      <c r="F183" s="58" t="s">
        <v>310</v>
      </c>
      <c r="G183" s="61">
        <v>2020</v>
      </c>
      <c r="H183" s="61">
        <f t="shared" si="2"/>
        <v>2020</v>
      </c>
      <c r="I183" s="58" t="s">
        <v>193</v>
      </c>
      <c r="J183" s="61" t="s">
        <v>200</v>
      </c>
      <c r="K183" s="85" t="s">
        <v>311</v>
      </c>
      <c r="L183" s="2" t="s">
        <v>18</v>
      </c>
      <c r="AE183" s="2" t="str">
        <v>HIV, Anti-virals</v>
      </c>
      <c r="AJ183" s="2" t="str">
        <v>Larotrectinib</v>
      </c>
    </row>
    <row r="184" spans="1:36">
      <c r="A184" s="63">
        <v>184</v>
      </c>
      <c r="B184" s="59" t="s">
        <v>186</v>
      </c>
      <c r="C184" s="59" t="s">
        <v>187</v>
      </c>
      <c r="D184" s="60" t="s">
        <v>120</v>
      </c>
      <c r="E184" s="60" t="s">
        <v>86</v>
      </c>
      <c r="F184" s="60" t="s">
        <v>312</v>
      </c>
      <c r="G184" s="59">
        <v>2020</v>
      </c>
      <c r="H184" s="59">
        <f t="shared" si="2"/>
        <v>2020</v>
      </c>
      <c r="I184" s="60" t="s">
        <v>193</v>
      </c>
      <c r="J184" s="59" t="s">
        <v>85</v>
      </c>
      <c r="K184" s="84" t="s">
        <v>313</v>
      </c>
      <c r="L184" s="2" t="s">
        <v>18</v>
      </c>
      <c r="AE184" s="2" t="str">
        <v>Severe Asthma</v>
      </c>
      <c r="AJ184" s="2" t="str">
        <v>Esketamine</v>
      </c>
    </row>
    <row r="185" spans="1:36">
      <c r="A185" s="64">
        <v>185</v>
      </c>
      <c r="B185" s="61" t="s">
        <v>186</v>
      </c>
      <c r="C185" s="61" t="s">
        <v>187</v>
      </c>
      <c r="D185" s="58" t="s">
        <v>120</v>
      </c>
      <c r="E185" s="58" t="s">
        <v>13</v>
      </c>
      <c r="F185" s="58" t="s">
        <v>314</v>
      </c>
      <c r="G185" s="61">
        <v>2021</v>
      </c>
      <c r="H185" s="61">
        <f t="shared" si="2"/>
        <v>2021</v>
      </c>
      <c r="I185" s="58" t="s">
        <v>193</v>
      </c>
      <c r="J185" s="61" t="s">
        <v>16</v>
      </c>
      <c r="K185" s="85" t="s">
        <v>315</v>
      </c>
      <c r="L185" s="2" t="s">
        <v>18</v>
      </c>
      <c r="AE185" s="2" t="str">
        <v>Melanoma</v>
      </c>
      <c r="AJ185" s="2" t="str">
        <v>Neratinib</v>
      </c>
    </row>
    <row r="186" spans="1:36">
      <c r="A186" s="63">
        <v>186</v>
      </c>
      <c r="B186" s="59" t="s">
        <v>186</v>
      </c>
      <c r="C186" s="59" t="s">
        <v>187</v>
      </c>
      <c r="D186" s="60" t="s">
        <v>120</v>
      </c>
      <c r="E186" s="60" t="s">
        <v>13</v>
      </c>
      <c r="F186" s="60" t="s">
        <v>316</v>
      </c>
      <c r="G186" s="59">
        <v>2021</v>
      </c>
      <c r="H186" s="59">
        <f t="shared" si="2"/>
        <v>2021</v>
      </c>
      <c r="I186" s="60" t="s">
        <v>286</v>
      </c>
      <c r="J186" s="59" t="s">
        <v>16</v>
      </c>
      <c r="K186" s="84" t="s">
        <v>317</v>
      </c>
      <c r="L186" s="2" t="s">
        <v>18</v>
      </c>
      <c r="AE186" s="2" t="str">
        <v>Esophagus</v>
      </c>
      <c r="AJ186" s="2" t="str">
        <v>Emicizumab</v>
      </c>
    </row>
    <row r="187" spans="1:36">
      <c r="A187" s="64">
        <v>187</v>
      </c>
      <c r="B187" s="61" t="s">
        <v>186</v>
      </c>
      <c r="C187" s="61" t="s">
        <v>187</v>
      </c>
      <c r="D187" s="58" t="s">
        <v>120</v>
      </c>
      <c r="E187" s="58" t="s">
        <v>76</v>
      </c>
      <c r="F187" s="58" t="s">
        <v>318</v>
      </c>
      <c r="G187" s="61">
        <v>2021</v>
      </c>
      <c r="H187" s="61">
        <f t="shared" si="2"/>
        <v>2021</v>
      </c>
      <c r="I187" s="58" t="s">
        <v>218</v>
      </c>
      <c r="J187" s="61" t="s">
        <v>16</v>
      </c>
      <c r="K187" s="85" t="s">
        <v>319</v>
      </c>
      <c r="L187" s="2" t="s">
        <v>18</v>
      </c>
      <c r="AE187" s="2" t="str">
        <v>NSCLC</v>
      </c>
      <c r="AJ187" s="2" t="str">
        <v>Tezacaftor/ivacaftor</v>
      </c>
    </row>
    <row r="188" spans="1:36">
      <c r="A188" s="63">
        <v>188</v>
      </c>
      <c r="B188" s="59" t="s">
        <v>186</v>
      </c>
      <c r="C188" s="59" t="s">
        <v>187</v>
      </c>
      <c r="D188" s="60" t="s">
        <v>120</v>
      </c>
      <c r="E188" s="60" t="s">
        <v>76</v>
      </c>
      <c r="F188" s="60" t="s">
        <v>318</v>
      </c>
      <c r="G188" s="59">
        <v>2021</v>
      </c>
      <c r="H188" s="59">
        <f t="shared" si="2"/>
        <v>2021</v>
      </c>
      <c r="I188" s="60" t="s">
        <v>218</v>
      </c>
      <c r="J188" s="59" t="s">
        <v>16</v>
      </c>
      <c r="K188" s="84" t="s">
        <v>320</v>
      </c>
      <c r="L188" s="2" t="s">
        <v>18</v>
      </c>
      <c r="AE188" s="2" t="str">
        <v>Non metastatic prostate cancer</v>
      </c>
      <c r="AJ188" s="2" t="str">
        <v>Axicabtagene ciloleucel (Yescarta®)</v>
      </c>
    </row>
    <row r="189" spans="1:36">
      <c r="A189" s="64">
        <v>189</v>
      </c>
      <c r="B189" s="61" t="s">
        <v>186</v>
      </c>
      <c r="C189" s="61" t="s">
        <v>187</v>
      </c>
      <c r="D189" s="58" t="s">
        <v>120</v>
      </c>
      <c r="E189" s="58" t="s">
        <v>76</v>
      </c>
      <c r="F189" s="58" t="s">
        <v>77</v>
      </c>
      <c r="G189" s="61">
        <v>2021</v>
      </c>
      <c r="H189" s="61">
        <f t="shared" si="2"/>
        <v>2021</v>
      </c>
      <c r="I189" s="58" t="s">
        <v>193</v>
      </c>
      <c r="J189" s="61" t="s">
        <v>16</v>
      </c>
      <c r="K189" s="85" t="s">
        <v>321</v>
      </c>
      <c r="L189" s="2" t="s">
        <v>18</v>
      </c>
      <c r="AE189" s="2" t="str">
        <v>Chronic coronary artery disease (CAD) and peripheral artery disease (PAD)</v>
      </c>
      <c r="AJ189" s="2" t="str">
        <v>Encorafenib</v>
      </c>
    </row>
    <row r="190" spans="1:36">
      <c r="A190" s="63">
        <v>190</v>
      </c>
      <c r="B190" s="59" t="s">
        <v>186</v>
      </c>
      <c r="C190" s="59" t="s">
        <v>187</v>
      </c>
      <c r="D190" s="60" t="s">
        <v>120</v>
      </c>
      <c r="E190" s="60" t="s">
        <v>290</v>
      </c>
      <c r="F190" s="60" t="s">
        <v>322</v>
      </c>
      <c r="G190" s="59">
        <v>2021</v>
      </c>
      <c r="H190" s="59">
        <f t="shared" si="2"/>
        <v>2021</v>
      </c>
      <c r="I190" s="60" t="s">
        <v>323</v>
      </c>
      <c r="J190" s="59" t="s">
        <v>16</v>
      </c>
      <c r="K190" s="84" t="s">
        <v>324</v>
      </c>
      <c r="L190" s="2" t="s">
        <v>18</v>
      </c>
      <c r="AE190" s="2" t="str">
        <v>Myelodysplastic Syndrome</v>
      </c>
      <c r="AJ190" s="2" t="str">
        <v>Polatuzumab vedotin</v>
      </c>
    </row>
    <row r="191" spans="1:36">
      <c r="A191" s="64">
        <v>191</v>
      </c>
      <c r="B191" s="61" t="s">
        <v>186</v>
      </c>
      <c r="C191" s="61" t="s">
        <v>187</v>
      </c>
      <c r="D191" s="58" t="s">
        <v>120</v>
      </c>
      <c r="E191" s="58" t="s">
        <v>76</v>
      </c>
      <c r="F191" s="58" t="s">
        <v>268</v>
      </c>
      <c r="G191" s="61">
        <v>2021</v>
      </c>
      <c r="H191" s="61">
        <f t="shared" si="2"/>
        <v>2021</v>
      </c>
      <c r="I191" s="58" t="s">
        <v>193</v>
      </c>
      <c r="J191" s="61" t="s">
        <v>239</v>
      </c>
      <c r="K191" s="85" t="s">
        <v>325</v>
      </c>
      <c r="L191" s="2" t="s">
        <v>18</v>
      </c>
      <c r="AE191" s="2" t="str">
        <v>Vision loss caused by mutations in both copies of the RPE65 gene and sufficient viable retinal cells</v>
      </c>
      <c r="AJ191" s="2" t="str">
        <v>Entrectinib</v>
      </c>
    </row>
    <row r="192" spans="1:36">
      <c r="A192" s="63">
        <v>192</v>
      </c>
      <c r="B192" s="59" t="s">
        <v>326</v>
      </c>
      <c r="C192" s="59" t="s">
        <v>120</v>
      </c>
      <c r="D192" s="60" t="s">
        <v>120</v>
      </c>
      <c r="E192" s="60" t="s">
        <v>36</v>
      </c>
      <c r="F192" s="60" t="s">
        <v>37</v>
      </c>
      <c r="G192" s="59">
        <v>2021</v>
      </c>
      <c r="H192" s="59">
        <f t="shared" si="2"/>
        <v>2021</v>
      </c>
      <c r="I192" s="60" t="s">
        <v>327</v>
      </c>
      <c r="J192" s="59" t="s">
        <v>328</v>
      </c>
      <c r="K192" s="84" t="s">
        <v>329</v>
      </c>
      <c r="L192" s="2" t="s">
        <v>18</v>
      </c>
      <c r="AE192" s="2" t="str">
        <v>Migraine</v>
      </c>
      <c r="AJ192" s="2" t="str">
        <v>Ivacaftor/tezacaftor/elexacaftor</v>
      </c>
    </row>
    <row r="193" spans="1:36">
      <c r="A193" s="64">
        <v>193</v>
      </c>
      <c r="B193" s="61" t="s">
        <v>326</v>
      </c>
      <c r="C193" s="61" t="s">
        <v>120</v>
      </c>
      <c r="D193" s="58" t="s">
        <v>120</v>
      </c>
      <c r="E193" s="58" t="s">
        <v>172</v>
      </c>
      <c r="F193" s="58" t="s">
        <v>297</v>
      </c>
      <c r="G193" s="61">
        <v>2021</v>
      </c>
      <c r="H193" s="61">
        <f t="shared" si="2"/>
        <v>2021</v>
      </c>
      <c r="I193" s="58" t="s">
        <v>327</v>
      </c>
      <c r="J193" s="61" t="s">
        <v>328</v>
      </c>
      <c r="K193" s="85" t="s">
        <v>330</v>
      </c>
      <c r="L193" s="2" t="s">
        <v>18</v>
      </c>
      <c r="AE193" s="2" t="str">
        <v>Retinopathy of Prematurity (ROP) in premature infants &amp; Diabetic Retinopathy (DR) in people with diabetic macular edema (DME)</v>
      </c>
      <c r="AJ193" s="2" t="str">
        <v>KTE-X19 (Tecartus)</v>
      </c>
    </row>
    <row r="194" spans="1:36">
      <c r="A194" s="63">
        <v>194</v>
      </c>
      <c r="B194" s="59" t="s">
        <v>326</v>
      </c>
      <c r="C194" s="59" t="s">
        <v>120</v>
      </c>
      <c r="D194" s="60" t="s">
        <v>120</v>
      </c>
      <c r="E194" s="60" t="s">
        <v>60</v>
      </c>
      <c r="F194" s="60" t="s">
        <v>331</v>
      </c>
      <c r="G194" s="59">
        <v>2020</v>
      </c>
      <c r="H194" s="59">
        <f t="shared" si="2"/>
        <v>2020</v>
      </c>
      <c r="I194" s="60" t="s">
        <v>332</v>
      </c>
      <c r="J194" s="59" t="s">
        <v>328</v>
      </c>
      <c r="K194" s="84" t="s">
        <v>333</v>
      </c>
      <c r="L194" s="2" t="s">
        <v>18</v>
      </c>
      <c r="AE194" s="2" t="str">
        <v>Wet age-related macular degeneration (AMD)</v>
      </c>
      <c r="AJ194" s="2" t="str">
        <v>Sacituzumab Govitecan-hziy</v>
      </c>
    </row>
    <row r="195" spans="1:36">
      <c r="A195" s="64">
        <v>195</v>
      </c>
      <c r="B195" s="61" t="s">
        <v>326</v>
      </c>
      <c r="C195" s="61" t="s">
        <v>120</v>
      </c>
      <c r="D195" s="58" t="s">
        <v>120</v>
      </c>
      <c r="E195" s="58" t="s">
        <v>13</v>
      </c>
      <c r="F195" s="58" t="s">
        <v>334</v>
      </c>
      <c r="G195" s="61">
        <v>2020</v>
      </c>
      <c r="H195" s="61">
        <f t="shared" si="2"/>
        <v>2020</v>
      </c>
      <c r="I195" s="58" t="s">
        <v>335</v>
      </c>
      <c r="J195" s="61" t="s">
        <v>328</v>
      </c>
      <c r="K195" s="85" t="s">
        <v>336</v>
      </c>
      <c r="L195" s="2" t="s">
        <v>18</v>
      </c>
      <c r="AE195" s="2" t="str">
        <v xml:space="preserve">BRAF Metastatic Melanoma </v>
      </c>
      <c r="AJ195" s="2" t="str">
        <v>Risdiplam</v>
      </c>
    </row>
    <row r="196" spans="1:36">
      <c r="A196" s="63">
        <v>196</v>
      </c>
      <c r="B196" s="59" t="s">
        <v>326</v>
      </c>
      <c r="C196" s="59" t="s">
        <v>120</v>
      </c>
      <c r="D196" s="60" t="s">
        <v>120</v>
      </c>
      <c r="E196" s="60" t="s">
        <v>172</v>
      </c>
      <c r="F196" s="60" t="s">
        <v>337</v>
      </c>
      <c r="G196" s="59">
        <v>2020</v>
      </c>
      <c r="H196" s="59">
        <f t="shared" ref="H196:H259" si="3">G196</f>
        <v>2020</v>
      </c>
      <c r="I196" s="60" t="s">
        <v>335</v>
      </c>
      <c r="J196" s="59" t="s">
        <v>328</v>
      </c>
      <c r="K196" s="84" t="s">
        <v>338</v>
      </c>
      <c r="L196" s="2" t="s">
        <v>18</v>
      </c>
      <c r="AE196" s="2" t="str">
        <v>Secondary progressive multiple sclerosis (SPMS)</v>
      </c>
      <c r="AJ196" s="2" t="str">
        <v>Avacopan</v>
      </c>
    </row>
    <row r="197" spans="1:36">
      <c r="A197" s="64">
        <v>197</v>
      </c>
      <c r="B197" s="61" t="s">
        <v>326</v>
      </c>
      <c r="C197" s="61" t="s">
        <v>120</v>
      </c>
      <c r="D197" s="58" t="s">
        <v>120</v>
      </c>
      <c r="E197" s="58" t="s">
        <v>32</v>
      </c>
      <c r="F197" s="58" t="s">
        <v>339</v>
      </c>
      <c r="G197" s="61">
        <v>2020</v>
      </c>
      <c r="H197" s="61">
        <f t="shared" si="3"/>
        <v>2020</v>
      </c>
      <c r="I197" s="58" t="s">
        <v>327</v>
      </c>
      <c r="J197" s="61" t="s">
        <v>328</v>
      </c>
      <c r="K197" s="85" t="s">
        <v>340</v>
      </c>
      <c r="L197" s="2" t="s">
        <v>18</v>
      </c>
      <c r="AE197" s="2" t="str">
        <v>Oral ulcers associated with Behçet’s Disease</v>
      </c>
      <c r="AJ197" s="2" t="str">
        <v>Bini Enco</v>
      </c>
    </row>
    <row r="198" spans="1:36">
      <c r="A198" s="63">
        <v>198</v>
      </c>
      <c r="B198" s="59" t="s">
        <v>326</v>
      </c>
      <c r="C198" s="59" t="s">
        <v>120</v>
      </c>
      <c r="D198" s="60" t="s">
        <v>120</v>
      </c>
      <c r="E198" s="60" t="s">
        <v>172</v>
      </c>
      <c r="F198" s="60" t="s">
        <v>322</v>
      </c>
      <c r="G198" s="59">
        <v>2020</v>
      </c>
      <c r="H198" s="59">
        <f t="shared" si="3"/>
        <v>2020</v>
      </c>
      <c r="I198" s="60" t="s">
        <v>335</v>
      </c>
      <c r="J198" s="59" t="s">
        <v>328</v>
      </c>
      <c r="K198" s="84" t="s">
        <v>341</v>
      </c>
      <c r="L198" s="2" t="s">
        <v>18</v>
      </c>
      <c r="AE198" s="2" t="str">
        <v>Heart Failure with reduced Injection Fraction (HFrEF)</v>
      </c>
    </row>
    <row r="199" spans="1:36">
      <c r="A199" s="64">
        <v>199</v>
      </c>
      <c r="B199" s="61" t="s">
        <v>326</v>
      </c>
      <c r="C199" s="61" t="s">
        <v>120</v>
      </c>
      <c r="D199" s="58" t="s">
        <v>120</v>
      </c>
      <c r="E199" s="58" t="s">
        <v>32</v>
      </c>
      <c r="F199" s="58" t="s">
        <v>342</v>
      </c>
      <c r="G199" s="61">
        <v>2019</v>
      </c>
      <c r="H199" s="61">
        <f t="shared" si="3"/>
        <v>2019</v>
      </c>
      <c r="I199" s="58" t="s">
        <v>332</v>
      </c>
      <c r="J199" s="61" t="s">
        <v>328</v>
      </c>
      <c r="K199" s="85" t="s">
        <v>343</v>
      </c>
      <c r="L199" s="2" t="s">
        <v>18</v>
      </c>
      <c r="AE199" s="2" t="str">
        <v>Prophylaxis of venous thromboembolic disease in moderate and high risk surgical patients, in particular those undergoing orthopaedic or general surgery including cancer surgery.
Prophylaxis of venous thromboembolic disease in medical patients with an acute illness (such as acute heart failure, respiratory insufficiency, severe infections or rheumatic diseases) and reduced mobility at increased risk of venous thromboembolism.
Treatment of deep vein thrombosis (DVT) and pulmonary embolism (PE), excluding PE likely to require thrombolytic therapy or surgery.
Prevention of thrombus formation in extracorporeal circulation during haemodialysis.
Acute coronary syndrome:
Treatment of unstable angina and Non ST-segment elevation myocardial infarction (NSTEMI), in combination with oral acetylsalicylic acid
Treatment of acute ST-segment elevation myocardial infarction (STEMI) including patients to be managed medically or with subsequent percutaneous coronary intervention (PCI).</v>
      </c>
    </row>
    <row r="200" spans="1:36">
      <c r="A200" s="63">
        <v>200</v>
      </c>
      <c r="B200" s="59" t="s">
        <v>326</v>
      </c>
      <c r="C200" s="59" t="s">
        <v>120</v>
      </c>
      <c r="D200" s="60" t="s">
        <v>120</v>
      </c>
      <c r="E200" s="60" t="s">
        <v>32</v>
      </c>
      <c r="F200" s="60" t="s">
        <v>344</v>
      </c>
      <c r="G200" s="59">
        <v>2019</v>
      </c>
      <c r="H200" s="59">
        <f t="shared" si="3"/>
        <v>2019</v>
      </c>
      <c r="I200" s="60" t="s">
        <v>332</v>
      </c>
      <c r="J200" s="59" t="s">
        <v>328</v>
      </c>
      <c r="K200" s="84" t="s">
        <v>345</v>
      </c>
      <c r="L200" s="2" t="s">
        <v>18</v>
      </c>
      <c r="AE200" s="2" t="str">
        <v>Non metastatic castration resistant prostate cancer (nmCRPC)</v>
      </c>
    </row>
    <row r="201" spans="1:36">
      <c r="A201" s="64">
        <v>201</v>
      </c>
      <c r="B201" s="61" t="s">
        <v>326</v>
      </c>
      <c r="C201" s="61" t="s">
        <v>120</v>
      </c>
      <c r="D201" s="58" t="s">
        <v>120</v>
      </c>
      <c r="E201" s="58" t="s">
        <v>13</v>
      </c>
      <c r="F201" s="58" t="s">
        <v>346</v>
      </c>
      <c r="G201" s="61">
        <v>2019</v>
      </c>
      <c r="H201" s="61">
        <f t="shared" si="3"/>
        <v>2019</v>
      </c>
      <c r="I201" s="58" t="s">
        <v>347</v>
      </c>
      <c r="J201" s="61" t="s">
        <v>328</v>
      </c>
      <c r="K201" s="85" t="s">
        <v>348</v>
      </c>
      <c r="L201" s="2" t="s">
        <v>18</v>
      </c>
      <c r="AE201" s="2" t="str">
        <v>Solid tumours that display a Neurotrophic Tyrosine Receptor Kinase (NTRK) gene fusion</v>
      </c>
    </row>
    <row r="202" spans="1:36">
      <c r="A202" s="63">
        <v>202</v>
      </c>
      <c r="B202" s="59" t="s">
        <v>326</v>
      </c>
      <c r="C202" s="59" t="s">
        <v>120</v>
      </c>
      <c r="D202" s="60" t="s">
        <v>120</v>
      </c>
      <c r="E202" s="60" t="s">
        <v>60</v>
      </c>
      <c r="F202" s="60" t="s">
        <v>116</v>
      </c>
      <c r="G202" s="59">
        <v>2019</v>
      </c>
      <c r="H202" s="59">
        <f t="shared" si="3"/>
        <v>2019</v>
      </c>
      <c r="I202" s="60" t="s">
        <v>349</v>
      </c>
      <c r="J202" s="59" t="s">
        <v>328</v>
      </c>
      <c r="K202" s="84" t="s">
        <v>350</v>
      </c>
      <c r="L202" s="2" t="s">
        <v>18</v>
      </c>
      <c r="AE202" s="2" t="str">
        <v>Severe thrombocytopenia in adult patients with chronic liver disease (CLD) who are scheduled to undergo an invasive procedure                                                                                                                                                              Chronic immune thrombocytopenic purpura (ITP) in adult patients who have had an insufficient response to a previous treatment</v>
      </c>
    </row>
    <row r="203" spans="1:36">
      <c r="A203" s="64">
        <v>203</v>
      </c>
      <c r="B203" s="61" t="s">
        <v>326</v>
      </c>
      <c r="C203" s="61" t="s">
        <v>120</v>
      </c>
      <c r="D203" s="58" t="s">
        <v>120</v>
      </c>
      <c r="E203" s="58" t="s">
        <v>13</v>
      </c>
      <c r="F203" s="58" t="s">
        <v>351</v>
      </c>
      <c r="G203" s="61">
        <v>2019</v>
      </c>
      <c r="H203" s="61">
        <f t="shared" si="3"/>
        <v>2019</v>
      </c>
      <c r="I203" s="58" t="s">
        <v>335</v>
      </c>
      <c r="J203" s="61" t="s">
        <v>328</v>
      </c>
      <c r="K203" s="85" t="s">
        <v>352</v>
      </c>
      <c r="L203" s="2" t="s">
        <v>18</v>
      </c>
      <c r="AE203" s="2" t="str">
        <v>Psoriatic Arthritis (PSA)</v>
      </c>
    </row>
    <row r="204" spans="1:36">
      <c r="A204" s="63">
        <v>204</v>
      </c>
      <c r="B204" s="59" t="s">
        <v>326</v>
      </c>
      <c r="C204" s="59" t="s">
        <v>120</v>
      </c>
      <c r="D204" s="60" t="s">
        <v>120</v>
      </c>
      <c r="E204" s="60" t="s">
        <v>32</v>
      </c>
      <c r="F204" s="60" t="s">
        <v>353</v>
      </c>
      <c r="G204" s="59">
        <v>2019</v>
      </c>
      <c r="H204" s="59">
        <f t="shared" si="3"/>
        <v>2019</v>
      </c>
      <c r="I204" s="60" t="s">
        <v>332</v>
      </c>
      <c r="J204" s="59" t="s">
        <v>328</v>
      </c>
      <c r="K204" s="84" t="s">
        <v>354</v>
      </c>
      <c r="L204" s="2" t="s">
        <v>18</v>
      </c>
      <c r="AE204" s="2" t="str">
        <v>Graft versus Host Disease (GvHD)</v>
      </c>
    </row>
    <row r="205" spans="1:36">
      <c r="A205" s="64">
        <v>205</v>
      </c>
      <c r="B205" s="61" t="s">
        <v>326</v>
      </c>
      <c r="C205" s="61" t="s">
        <v>120</v>
      </c>
      <c r="D205" s="58" t="s">
        <v>120</v>
      </c>
      <c r="E205" s="58" t="s">
        <v>36</v>
      </c>
      <c r="F205" s="58" t="s">
        <v>355</v>
      </c>
      <c r="G205" s="61">
        <v>2019</v>
      </c>
      <c r="H205" s="61">
        <f t="shared" si="3"/>
        <v>2019</v>
      </c>
      <c r="I205" s="58" t="s">
        <v>98</v>
      </c>
      <c r="J205" s="61" t="s">
        <v>328</v>
      </c>
      <c r="K205" s="85" t="s">
        <v>356</v>
      </c>
      <c r="L205" s="2" t="s">
        <v>18</v>
      </c>
      <c r="AE205" s="2" t="str">
        <v>Stage 1 or 2 polyneuropathy in adult patients with hereditary transthyretin-related amyloidosis (hATTR)</v>
      </c>
    </row>
    <row r="206" spans="1:36">
      <c r="A206" s="63">
        <v>206</v>
      </c>
      <c r="B206" s="59" t="s">
        <v>326</v>
      </c>
      <c r="C206" s="59" t="s">
        <v>120</v>
      </c>
      <c r="D206" s="60" t="s">
        <v>120</v>
      </c>
      <c r="E206" s="60" t="s">
        <v>13</v>
      </c>
      <c r="F206" s="60" t="s">
        <v>357</v>
      </c>
      <c r="G206" s="59">
        <v>2018</v>
      </c>
      <c r="H206" s="59">
        <f t="shared" si="3"/>
        <v>2018</v>
      </c>
      <c r="I206" s="60" t="s">
        <v>349</v>
      </c>
      <c r="J206" s="59" t="s">
        <v>328</v>
      </c>
      <c r="K206" s="84" t="s">
        <v>358</v>
      </c>
      <c r="L206" s="2" t="s">
        <v>18</v>
      </c>
      <c r="AE206" s="2" t="str">
        <v>Chronic ulcers</v>
      </c>
    </row>
    <row r="207" spans="1:36">
      <c r="A207" s="64">
        <v>207</v>
      </c>
      <c r="B207" s="61" t="s">
        <v>326</v>
      </c>
      <c r="C207" s="61" t="s">
        <v>120</v>
      </c>
      <c r="D207" s="58" t="s">
        <v>120</v>
      </c>
      <c r="E207" s="58" t="s">
        <v>13</v>
      </c>
      <c r="F207" s="58" t="s">
        <v>359</v>
      </c>
      <c r="G207" s="61">
        <v>2018</v>
      </c>
      <c r="H207" s="61">
        <f t="shared" si="3"/>
        <v>2018</v>
      </c>
      <c r="I207" s="58" t="s">
        <v>332</v>
      </c>
      <c r="J207" s="61" t="s">
        <v>328</v>
      </c>
      <c r="K207" s="85" t="s">
        <v>360</v>
      </c>
      <c r="L207" s="2" t="s">
        <v>18</v>
      </c>
      <c r="AE207" s="2" t="str">
        <v>Bariatric surgery</v>
      </c>
    </row>
    <row r="208" spans="1:36">
      <c r="A208" s="63">
        <v>208</v>
      </c>
      <c r="B208" s="59" t="s">
        <v>326</v>
      </c>
      <c r="C208" s="59" t="s">
        <v>120</v>
      </c>
      <c r="D208" s="60" t="s">
        <v>120</v>
      </c>
      <c r="E208" s="60" t="s">
        <v>13</v>
      </c>
      <c r="F208" s="60" t="s">
        <v>361</v>
      </c>
      <c r="G208" s="59">
        <v>2018</v>
      </c>
      <c r="H208" s="59">
        <f t="shared" si="3"/>
        <v>2018</v>
      </c>
      <c r="I208" s="60" t="s">
        <v>98</v>
      </c>
      <c r="J208" s="59" t="s">
        <v>328</v>
      </c>
      <c r="K208" s="84" t="s">
        <v>169</v>
      </c>
      <c r="L208" s="2" t="s">
        <v>18</v>
      </c>
      <c r="AE208" s="2" t="str">
        <v>NTRK+ tumours</v>
      </c>
    </row>
    <row r="209" spans="1:31">
      <c r="A209" s="64">
        <v>209</v>
      </c>
      <c r="B209" s="61" t="s">
        <v>326</v>
      </c>
      <c r="C209" s="61" t="s">
        <v>120</v>
      </c>
      <c r="D209" s="58" t="s">
        <v>120</v>
      </c>
      <c r="E209" s="58" t="s">
        <v>41</v>
      </c>
      <c r="F209" s="58" t="s">
        <v>167</v>
      </c>
      <c r="G209" s="61">
        <v>2018</v>
      </c>
      <c r="H209" s="61">
        <f t="shared" si="3"/>
        <v>2018</v>
      </c>
      <c r="I209" s="58" t="s">
        <v>362</v>
      </c>
      <c r="J209" s="61" t="s">
        <v>328</v>
      </c>
      <c r="K209" s="85" t="s">
        <v>363</v>
      </c>
      <c r="L209" s="2" t="s">
        <v>18</v>
      </c>
      <c r="AE209" s="2" t="str">
        <v>Treatment resistant depression</v>
      </c>
    </row>
    <row r="210" spans="1:31">
      <c r="A210" s="63">
        <v>210</v>
      </c>
      <c r="B210" s="59" t="s">
        <v>326</v>
      </c>
      <c r="C210" s="59" t="s">
        <v>120</v>
      </c>
      <c r="D210" s="60" t="s">
        <v>120</v>
      </c>
      <c r="E210" s="60" t="s">
        <v>36</v>
      </c>
      <c r="F210" s="60" t="s">
        <v>355</v>
      </c>
      <c r="G210" s="59">
        <v>2018</v>
      </c>
      <c r="H210" s="59">
        <f t="shared" si="3"/>
        <v>2018</v>
      </c>
      <c r="I210" s="60" t="s">
        <v>362</v>
      </c>
      <c r="J210" s="59" t="s">
        <v>328</v>
      </c>
      <c r="K210" s="84" t="s">
        <v>364</v>
      </c>
      <c r="L210" s="2" t="s">
        <v>18</v>
      </c>
      <c r="AE210" s="2" t="str">
        <v>Extended adjuvant treatment of patients with early-stage hormone receptor-positive HER2+ breast cancer and who completed adjuvant trastuzumab-based therapy less than 1 year ago</v>
      </c>
    </row>
    <row r="211" spans="1:31">
      <c r="A211" s="64">
        <v>211</v>
      </c>
      <c r="B211" s="61" t="s">
        <v>326</v>
      </c>
      <c r="C211" s="61" t="s">
        <v>120</v>
      </c>
      <c r="D211" s="58" t="s">
        <v>120</v>
      </c>
      <c r="E211" s="58" t="s">
        <v>60</v>
      </c>
      <c r="F211" s="58" t="s">
        <v>365</v>
      </c>
      <c r="G211" s="61">
        <v>2018</v>
      </c>
      <c r="H211" s="61">
        <f t="shared" si="3"/>
        <v>2018</v>
      </c>
      <c r="I211" s="58" t="s">
        <v>327</v>
      </c>
      <c r="J211" s="61" t="s">
        <v>328</v>
      </c>
      <c r="K211" s="85" t="s">
        <v>366</v>
      </c>
      <c r="L211" s="2" t="s">
        <v>18</v>
      </c>
      <c r="AE211" s="2" t="str">
        <v>Routine prophylaxis of bleeding episodes in patients with severe haemophilia A (congenital factor VIII deficiency, FVIII &lt; 1%) without factor VIII inhibitors</v>
      </c>
    </row>
    <row r="212" spans="1:31">
      <c r="A212" s="63">
        <v>212</v>
      </c>
      <c r="B212" s="59" t="s">
        <v>326</v>
      </c>
      <c r="C212" s="59" t="s">
        <v>120</v>
      </c>
      <c r="D212" s="60" t="s">
        <v>120</v>
      </c>
      <c r="E212" s="60" t="s">
        <v>71</v>
      </c>
      <c r="F212" s="60" t="s">
        <v>367</v>
      </c>
      <c r="G212" s="59">
        <v>2018</v>
      </c>
      <c r="H212" s="59">
        <f t="shared" si="3"/>
        <v>2018</v>
      </c>
      <c r="I212" s="60" t="s">
        <v>327</v>
      </c>
      <c r="J212" s="59" t="s">
        <v>328</v>
      </c>
      <c r="K212" s="84" t="s">
        <v>169</v>
      </c>
      <c r="L212" s="2" t="s">
        <v>18</v>
      </c>
      <c r="AE212" s="2" t="str">
        <v>Patients with cystic fibrosis aged 12 years and older with a heterozygous F508del mutation and on the other allele a mutation associated with residual CFTR function</v>
      </c>
    </row>
    <row r="213" spans="1:31">
      <c r="A213" s="64">
        <v>213</v>
      </c>
      <c r="B213" s="61" t="s">
        <v>326</v>
      </c>
      <c r="C213" s="61" t="s">
        <v>120</v>
      </c>
      <c r="D213" s="58" t="s">
        <v>120</v>
      </c>
      <c r="E213" s="58" t="s">
        <v>76</v>
      </c>
      <c r="F213" s="58" t="s">
        <v>368</v>
      </c>
      <c r="G213" s="61">
        <v>2017</v>
      </c>
      <c r="H213" s="61">
        <f t="shared" si="3"/>
        <v>2017</v>
      </c>
      <c r="I213" s="58" t="s">
        <v>369</v>
      </c>
      <c r="J213" s="61" t="s">
        <v>328</v>
      </c>
      <c r="K213" s="85" t="s">
        <v>370</v>
      </c>
      <c r="L213" s="2" t="s">
        <v>18</v>
      </c>
      <c r="AE213" s="2" t="str">
        <v>Relapsed or refractory diffuse large B cell lymphoma (DLBCL) and primary mediastinal large B cell lymphoma (PMBCL), after two or more lines of systemic therapy</v>
      </c>
    </row>
    <row r="214" spans="1:31">
      <c r="A214" s="63">
        <v>214</v>
      </c>
      <c r="B214" s="59" t="s">
        <v>326</v>
      </c>
      <c r="C214" s="59" t="s">
        <v>120</v>
      </c>
      <c r="D214" s="60" t="s">
        <v>120</v>
      </c>
      <c r="E214" s="60" t="s">
        <v>60</v>
      </c>
      <c r="F214" s="60" t="s">
        <v>130</v>
      </c>
      <c r="G214" s="59">
        <v>2017</v>
      </c>
      <c r="H214" s="59">
        <f t="shared" si="3"/>
        <v>2017</v>
      </c>
      <c r="I214" s="60" t="s">
        <v>327</v>
      </c>
      <c r="J214" s="59" t="s">
        <v>328</v>
      </c>
      <c r="K214" s="84" t="s">
        <v>371</v>
      </c>
      <c r="L214" s="2" t="s">
        <v>18</v>
      </c>
      <c r="AE214" s="2" t="str">
        <v>Metastatic colorectal cancer with a BRAF V600E mutation, who have received prior systemic therapy</v>
      </c>
    </row>
    <row r="215" spans="1:31">
      <c r="A215" s="64">
        <v>215</v>
      </c>
      <c r="B215" s="61" t="s">
        <v>326</v>
      </c>
      <c r="C215" s="61" t="s">
        <v>120</v>
      </c>
      <c r="D215" s="58" t="s">
        <v>120</v>
      </c>
      <c r="E215" s="58" t="s">
        <v>60</v>
      </c>
      <c r="F215" s="58" t="s">
        <v>365</v>
      </c>
      <c r="G215" s="61">
        <v>2017</v>
      </c>
      <c r="H215" s="61">
        <f t="shared" si="3"/>
        <v>2017</v>
      </c>
      <c r="I215" s="58" t="s">
        <v>369</v>
      </c>
      <c r="J215" s="61" t="s">
        <v>328</v>
      </c>
      <c r="K215" s="85" t="s">
        <v>372</v>
      </c>
      <c r="L215" s="2" t="s">
        <v>18</v>
      </c>
      <c r="AE215" s="2" t="str">
        <v>Relapsed/refractory diffuse large B-cell lymphoma (DLBCL) who are not candidates for haematopoietic stem cell transplant</v>
      </c>
    </row>
    <row r="216" spans="1:31">
      <c r="A216" s="63">
        <v>216</v>
      </c>
      <c r="B216" s="59" t="s">
        <v>326</v>
      </c>
      <c r="C216" s="59" t="s">
        <v>120</v>
      </c>
      <c r="D216" s="60" t="s">
        <v>120</v>
      </c>
      <c r="E216" s="60" t="s">
        <v>44</v>
      </c>
      <c r="F216" s="60" t="s">
        <v>373</v>
      </c>
      <c r="G216" s="59">
        <v>2017</v>
      </c>
      <c r="H216" s="59">
        <f t="shared" si="3"/>
        <v>2017</v>
      </c>
      <c r="I216" s="60" t="s">
        <v>374</v>
      </c>
      <c r="J216" s="59" t="s">
        <v>328</v>
      </c>
      <c r="K216" s="84" t="s">
        <v>375</v>
      </c>
      <c r="L216" s="2" t="s">
        <v>18</v>
      </c>
      <c r="AE216" s="2" t="str">
        <v>ROS1+ NSCLC</v>
      </c>
    </row>
    <row r="217" spans="1:31">
      <c r="A217" s="64">
        <v>217</v>
      </c>
      <c r="B217" s="61" t="s">
        <v>326</v>
      </c>
      <c r="C217" s="61" t="s">
        <v>120</v>
      </c>
      <c r="D217" s="58" t="s">
        <v>120</v>
      </c>
      <c r="E217" s="58" t="s">
        <v>165</v>
      </c>
      <c r="F217" s="58" t="s">
        <v>376</v>
      </c>
      <c r="G217" s="61">
        <v>2017</v>
      </c>
      <c r="H217" s="61">
        <f t="shared" si="3"/>
        <v>2017</v>
      </c>
      <c r="I217" s="58" t="s">
        <v>377</v>
      </c>
      <c r="J217" s="61" t="s">
        <v>328</v>
      </c>
      <c r="K217" s="85" t="s">
        <v>378</v>
      </c>
      <c r="L217" s="2" t="s">
        <v>18</v>
      </c>
      <c r="AE217" s="2" t="str">
        <v>Treatment of cystic fibrosis in patients aged 12 years and older who are homozygous for the F508del mutation in the cystic fibrosis transmembrane conductance regulator (CFTR) gene or heterozygous for F508del in the CFTR gene with a minimal function mutation</v>
      </c>
    </row>
    <row r="218" spans="1:31">
      <c r="A218" s="63">
        <v>218</v>
      </c>
      <c r="B218" s="59" t="s">
        <v>326</v>
      </c>
      <c r="C218" s="59" t="s">
        <v>120</v>
      </c>
      <c r="D218" s="60" t="s">
        <v>120</v>
      </c>
      <c r="E218" s="60" t="s">
        <v>36</v>
      </c>
      <c r="F218" s="60" t="s">
        <v>379</v>
      </c>
      <c r="G218" s="59">
        <v>2017</v>
      </c>
      <c r="H218" s="59">
        <f t="shared" si="3"/>
        <v>2017</v>
      </c>
      <c r="I218" s="60" t="s">
        <v>369</v>
      </c>
      <c r="J218" s="59" t="s">
        <v>328</v>
      </c>
      <c r="K218" s="84" t="s">
        <v>380</v>
      </c>
      <c r="L218" s="2" t="s">
        <v>18</v>
      </c>
      <c r="AE218" s="2" t="str">
        <v>Relapsed/Refractory Mantle Cell Lymphoma</v>
      </c>
    </row>
    <row r="219" spans="1:31">
      <c r="A219" s="64">
        <v>219</v>
      </c>
      <c r="B219" s="61" t="s">
        <v>326</v>
      </c>
      <c r="C219" s="61" t="s">
        <v>120</v>
      </c>
      <c r="D219" s="58" t="s">
        <v>120</v>
      </c>
      <c r="E219" s="58" t="s">
        <v>86</v>
      </c>
      <c r="F219" s="58" t="s">
        <v>381</v>
      </c>
      <c r="G219" s="61">
        <v>2016</v>
      </c>
      <c r="H219" s="61">
        <f t="shared" si="3"/>
        <v>2016</v>
      </c>
      <c r="I219" s="58" t="s">
        <v>327</v>
      </c>
      <c r="J219" s="61" t="s">
        <v>328</v>
      </c>
      <c r="K219" s="85" t="s">
        <v>382</v>
      </c>
      <c r="L219" s="2" t="s">
        <v>18</v>
      </c>
      <c r="AE219" s="2" t="str">
        <v>3L+ triple negative breast cancer</v>
      </c>
    </row>
    <row r="220" spans="1:31">
      <c r="A220" s="63">
        <v>220</v>
      </c>
      <c r="B220" s="59" t="s">
        <v>326</v>
      </c>
      <c r="C220" s="59" t="s">
        <v>120</v>
      </c>
      <c r="D220" s="60" t="s">
        <v>120</v>
      </c>
      <c r="E220" s="60" t="s">
        <v>172</v>
      </c>
      <c r="F220" s="60" t="s">
        <v>204</v>
      </c>
      <c r="G220" s="59">
        <v>2016</v>
      </c>
      <c r="H220" s="59">
        <f t="shared" si="3"/>
        <v>2016</v>
      </c>
      <c r="I220" s="60" t="s">
        <v>332</v>
      </c>
      <c r="J220" s="59" t="s">
        <v>328</v>
      </c>
      <c r="K220" s="84" t="s">
        <v>383</v>
      </c>
      <c r="L220" s="2" t="s">
        <v>18</v>
      </c>
      <c r="AE220" s="2" t="str">
        <v>Spinal muscular atrophy</v>
      </c>
    </row>
    <row r="221" spans="1:31">
      <c r="A221" s="64">
        <v>221</v>
      </c>
      <c r="B221" s="61" t="s">
        <v>326</v>
      </c>
      <c r="C221" s="61" t="s">
        <v>120</v>
      </c>
      <c r="D221" s="58" t="s">
        <v>120</v>
      </c>
      <c r="E221" s="58" t="s">
        <v>13</v>
      </c>
      <c r="F221" s="58" t="s">
        <v>384</v>
      </c>
      <c r="G221" s="61">
        <v>2016</v>
      </c>
      <c r="H221" s="61">
        <f t="shared" si="3"/>
        <v>2016</v>
      </c>
      <c r="I221" s="58" t="s">
        <v>98</v>
      </c>
      <c r="J221" s="61" t="s">
        <v>328</v>
      </c>
      <c r="K221" s="85" t="s">
        <v>385</v>
      </c>
      <c r="L221" s="2" t="s">
        <v>18</v>
      </c>
      <c r="AE221" s="2" t="str">
        <v>Treatment of cystic fibrosis in patients aged 12 years and older who are heterozygous for F508del in the CFTR gene with a residual function or gating mutation</v>
      </c>
    </row>
    <row r="222" spans="1:31">
      <c r="A222" s="63">
        <v>222</v>
      </c>
      <c r="B222" s="59" t="s">
        <v>326</v>
      </c>
      <c r="C222" s="59" t="s">
        <v>120</v>
      </c>
      <c r="D222" s="60" t="s">
        <v>120</v>
      </c>
      <c r="E222" s="60" t="s">
        <v>71</v>
      </c>
      <c r="F222" s="60" t="s">
        <v>386</v>
      </c>
      <c r="G222" s="59">
        <v>2016</v>
      </c>
      <c r="H222" s="59">
        <f t="shared" si="3"/>
        <v>2016</v>
      </c>
      <c r="I222" s="60" t="s">
        <v>98</v>
      </c>
      <c r="J222" s="59" t="s">
        <v>328</v>
      </c>
      <c r="K222" s="84" t="s">
        <v>387</v>
      </c>
      <c r="L222" s="2" t="s">
        <v>18</v>
      </c>
      <c r="AE222" s="2" t="str">
        <v>ANCA-associated vasculitis</v>
      </c>
    </row>
    <row r="223" spans="1:31">
      <c r="A223" s="64">
        <v>223</v>
      </c>
      <c r="B223" s="61" t="s">
        <v>326</v>
      </c>
      <c r="C223" s="61" t="s">
        <v>120</v>
      </c>
      <c r="D223" s="58" t="s">
        <v>120</v>
      </c>
      <c r="E223" s="58" t="s">
        <v>41</v>
      </c>
      <c r="F223" s="58" t="s">
        <v>388</v>
      </c>
      <c r="G223" s="61">
        <v>2016</v>
      </c>
      <c r="H223" s="61">
        <f t="shared" si="3"/>
        <v>2016</v>
      </c>
      <c r="I223" s="58" t="s">
        <v>98</v>
      </c>
      <c r="J223" s="61" t="s">
        <v>328</v>
      </c>
      <c r="K223" s="85" t="s">
        <v>389</v>
      </c>
      <c r="L223" s="2" t="s">
        <v>18</v>
      </c>
    </row>
    <row r="224" spans="1:31">
      <c r="A224" s="63">
        <v>224</v>
      </c>
      <c r="B224" s="59" t="s">
        <v>326</v>
      </c>
      <c r="C224" s="59" t="s">
        <v>120</v>
      </c>
      <c r="D224" s="60" t="s">
        <v>120</v>
      </c>
      <c r="E224" s="60" t="s">
        <v>172</v>
      </c>
      <c r="F224" s="60" t="s">
        <v>390</v>
      </c>
      <c r="G224" s="59">
        <v>2016</v>
      </c>
      <c r="H224" s="59">
        <f t="shared" si="3"/>
        <v>2016</v>
      </c>
      <c r="I224" s="60" t="s">
        <v>369</v>
      </c>
      <c r="J224" s="59"/>
      <c r="K224" s="84" t="s">
        <v>391</v>
      </c>
      <c r="L224" s="2" t="s">
        <v>18</v>
      </c>
    </row>
    <row r="225" spans="1:12">
      <c r="A225" s="64">
        <v>225</v>
      </c>
      <c r="B225" s="61" t="s">
        <v>326</v>
      </c>
      <c r="C225" s="61" t="s">
        <v>120</v>
      </c>
      <c r="D225" s="58" t="s">
        <v>120</v>
      </c>
      <c r="E225" s="58" t="s">
        <v>71</v>
      </c>
      <c r="F225" s="58" t="s">
        <v>386</v>
      </c>
      <c r="G225" s="61">
        <v>2016</v>
      </c>
      <c r="H225" s="61">
        <f t="shared" si="3"/>
        <v>2016</v>
      </c>
      <c r="I225" s="58" t="s">
        <v>369</v>
      </c>
      <c r="J225" s="61" t="s">
        <v>328</v>
      </c>
      <c r="K225" s="85" t="s">
        <v>228</v>
      </c>
      <c r="L225" s="2" t="s">
        <v>18</v>
      </c>
    </row>
    <row r="226" spans="1:12">
      <c r="A226" s="63">
        <v>226</v>
      </c>
      <c r="B226" s="59" t="s">
        <v>326</v>
      </c>
      <c r="C226" s="59" t="s">
        <v>120</v>
      </c>
      <c r="D226" s="60" t="s">
        <v>120</v>
      </c>
      <c r="E226" s="60" t="s">
        <v>60</v>
      </c>
      <c r="F226" s="60" t="s">
        <v>392</v>
      </c>
      <c r="G226" s="59">
        <v>2016</v>
      </c>
      <c r="H226" s="59">
        <f t="shared" si="3"/>
        <v>2016</v>
      </c>
      <c r="I226" s="60" t="s">
        <v>98</v>
      </c>
      <c r="J226" s="59" t="s">
        <v>328</v>
      </c>
      <c r="K226" s="84" t="s">
        <v>366</v>
      </c>
      <c r="L226" s="2" t="s">
        <v>18</v>
      </c>
    </row>
    <row r="227" spans="1:12">
      <c r="A227" s="64">
        <v>227</v>
      </c>
      <c r="B227" s="61" t="s">
        <v>326</v>
      </c>
      <c r="C227" s="61" t="s">
        <v>120</v>
      </c>
      <c r="D227" s="58" t="s">
        <v>120</v>
      </c>
      <c r="E227" s="58" t="s">
        <v>60</v>
      </c>
      <c r="F227" s="58" t="s">
        <v>392</v>
      </c>
      <c r="G227" s="61">
        <v>2015</v>
      </c>
      <c r="H227" s="61">
        <f t="shared" si="3"/>
        <v>2015</v>
      </c>
      <c r="I227" s="58" t="s">
        <v>369</v>
      </c>
      <c r="J227" s="61" t="s">
        <v>328</v>
      </c>
      <c r="K227" s="85" t="s">
        <v>393</v>
      </c>
      <c r="L227" s="2" t="s">
        <v>18</v>
      </c>
    </row>
    <row r="228" spans="1:12">
      <c r="A228" s="63">
        <v>228</v>
      </c>
      <c r="B228" s="59" t="s">
        <v>326</v>
      </c>
      <c r="C228" s="59" t="s">
        <v>120</v>
      </c>
      <c r="D228" s="60" t="s">
        <v>120</v>
      </c>
      <c r="E228" s="60" t="s">
        <v>71</v>
      </c>
      <c r="F228" s="60" t="s">
        <v>394</v>
      </c>
      <c r="G228" s="59">
        <v>2015</v>
      </c>
      <c r="H228" s="59">
        <f t="shared" si="3"/>
        <v>2015</v>
      </c>
      <c r="I228" s="60" t="s">
        <v>98</v>
      </c>
      <c r="J228" s="59" t="s">
        <v>328</v>
      </c>
      <c r="K228" s="84" t="s">
        <v>395</v>
      </c>
      <c r="L228" s="2" t="s">
        <v>18</v>
      </c>
    </row>
    <row r="229" spans="1:12">
      <c r="A229" s="64">
        <v>229</v>
      </c>
      <c r="B229" s="61" t="s">
        <v>326</v>
      </c>
      <c r="C229" s="61" t="s">
        <v>120</v>
      </c>
      <c r="D229" s="58" t="s">
        <v>120</v>
      </c>
      <c r="E229" s="58" t="s">
        <v>60</v>
      </c>
      <c r="F229" s="58" t="s">
        <v>392</v>
      </c>
      <c r="G229" s="61">
        <v>2015</v>
      </c>
      <c r="H229" s="61">
        <f t="shared" si="3"/>
        <v>2015</v>
      </c>
      <c r="I229" s="58" t="s">
        <v>396</v>
      </c>
      <c r="J229" s="61" t="s">
        <v>328</v>
      </c>
      <c r="K229" s="85" t="s">
        <v>397</v>
      </c>
      <c r="L229" s="2" t="s">
        <v>18</v>
      </c>
    </row>
    <row r="230" spans="1:12">
      <c r="A230" s="63">
        <v>230</v>
      </c>
      <c r="B230" s="59" t="s">
        <v>326</v>
      </c>
      <c r="C230" s="59" t="s">
        <v>120</v>
      </c>
      <c r="D230" s="60" t="s">
        <v>120</v>
      </c>
      <c r="E230" s="60" t="s">
        <v>71</v>
      </c>
      <c r="F230" s="60" t="s">
        <v>386</v>
      </c>
      <c r="G230" s="59">
        <v>2015</v>
      </c>
      <c r="H230" s="59">
        <f t="shared" si="3"/>
        <v>2015</v>
      </c>
      <c r="I230" s="60" t="s">
        <v>98</v>
      </c>
      <c r="J230" s="59" t="s">
        <v>328</v>
      </c>
      <c r="K230" s="84" t="s">
        <v>398</v>
      </c>
      <c r="L230" s="2" t="s">
        <v>18</v>
      </c>
    </row>
    <row r="231" spans="1:12">
      <c r="A231" s="64">
        <v>231</v>
      </c>
      <c r="B231" s="61" t="s">
        <v>326</v>
      </c>
      <c r="C231" s="61" t="s">
        <v>120</v>
      </c>
      <c r="D231" s="58" t="s">
        <v>120</v>
      </c>
      <c r="E231" s="58" t="s">
        <v>60</v>
      </c>
      <c r="F231" s="58" t="s">
        <v>392</v>
      </c>
      <c r="G231" s="61">
        <v>2015</v>
      </c>
      <c r="H231" s="61">
        <f t="shared" si="3"/>
        <v>2015</v>
      </c>
      <c r="I231" s="58" t="s">
        <v>369</v>
      </c>
      <c r="J231" s="61" t="s">
        <v>328</v>
      </c>
      <c r="K231" s="85" t="s">
        <v>399</v>
      </c>
      <c r="L231" s="2" t="s">
        <v>18</v>
      </c>
    </row>
    <row r="232" spans="1:12">
      <c r="A232" s="63">
        <v>232</v>
      </c>
      <c r="B232" s="59" t="s">
        <v>400</v>
      </c>
      <c r="C232" s="59" t="s">
        <v>401</v>
      </c>
      <c r="D232" s="60" t="s">
        <v>402</v>
      </c>
      <c r="E232" s="60" t="s">
        <v>13</v>
      </c>
      <c r="F232" s="60" t="s">
        <v>403</v>
      </c>
      <c r="G232" s="59">
        <v>2018</v>
      </c>
      <c r="H232" s="59">
        <f t="shared" si="3"/>
        <v>2018</v>
      </c>
      <c r="I232" s="60" t="s">
        <v>404</v>
      </c>
      <c r="J232" s="59" t="s">
        <v>405</v>
      </c>
      <c r="K232" s="84" t="s">
        <v>406</v>
      </c>
      <c r="L232" s="2" t="s">
        <v>18</v>
      </c>
    </row>
    <row r="233" spans="1:12">
      <c r="A233" s="64">
        <v>233</v>
      </c>
      <c r="B233" s="61" t="s">
        <v>400</v>
      </c>
      <c r="C233" s="61" t="s">
        <v>401</v>
      </c>
      <c r="D233" s="58" t="s">
        <v>402</v>
      </c>
      <c r="E233" s="58" t="s">
        <v>21</v>
      </c>
      <c r="F233" s="58" t="s">
        <v>407</v>
      </c>
      <c r="G233" s="61">
        <v>2018</v>
      </c>
      <c r="H233" s="61">
        <f t="shared" si="3"/>
        <v>2018</v>
      </c>
      <c r="I233" s="58" t="s">
        <v>404</v>
      </c>
      <c r="J233" s="61" t="s">
        <v>408</v>
      </c>
      <c r="K233" s="85" t="s">
        <v>409</v>
      </c>
      <c r="L233" s="2" t="s">
        <v>18</v>
      </c>
    </row>
    <row r="234" spans="1:12">
      <c r="A234" s="63">
        <v>234</v>
      </c>
      <c r="B234" s="59" t="s">
        <v>400</v>
      </c>
      <c r="C234" s="59" t="s">
        <v>401</v>
      </c>
      <c r="D234" s="60" t="s">
        <v>402</v>
      </c>
      <c r="E234" s="60" t="s">
        <v>76</v>
      </c>
      <c r="F234" s="60" t="s">
        <v>410</v>
      </c>
      <c r="G234" s="59">
        <v>2018</v>
      </c>
      <c r="H234" s="59">
        <f t="shared" si="3"/>
        <v>2018</v>
      </c>
      <c r="I234" s="60" t="s">
        <v>411</v>
      </c>
      <c r="J234" s="59" t="s">
        <v>408</v>
      </c>
      <c r="K234" s="84" t="s">
        <v>412</v>
      </c>
      <c r="L234" s="2" t="s">
        <v>18</v>
      </c>
    </row>
    <row r="235" spans="1:12">
      <c r="A235" s="64">
        <v>235</v>
      </c>
      <c r="B235" s="61" t="s">
        <v>400</v>
      </c>
      <c r="C235" s="61" t="s">
        <v>401</v>
      </c>
      <c r="D235" s="58" t="s">
        <v>402</v>
      </c>
      <c r="E235" s="58" t="s">
        <v>172</v>
      </c>
      <c r="F235" s="58" t="s">
        <v>322</v>
      </c>
      <c r="G235" s="61">
        <v>2018</v>
      </c>
      <c r="H235" s="61">
        <f t="shared" si="3"/>
        <v>2018</v>
      </c>
      <c r="I235" s="58" t="s">
        <v>411</v>
      </c>
      <c r="J235" s="61" t="s">
        <v>408</v>
      </c>
      <c r="K235" s="85" t="s">
        <v>413</v>
      </c>
      <c r="L235" s="2" t="s">
        <v>18</v>
      </c>
    </row>
    <row r="236" spans="1:12">
      <c r="A236" s="63">
        <v>236</v>
      </c>
      <c r="B236" s="59" t="s">
        <v>400</v>
      </c>
      <c r="C236" s="59" t="s">
        <v>401</v>
      </c>
      <c r="D236" s="60" t="s">
        <v>402</v>
      </c>
      <c r="E236" s="60" t="s">
        <v>60</v>
      </c>
      <c r="F236" s="60" t="s">
        <v>414</v>
      </c>
      <c r="G236" s="59">
        <v>2018</v>
      </c>
      <c r="H236" s="59">
        <f t="shared" si="3"/>
        <v>2018</v>
      </c>
      <c r="I236" s="60" t="s">
        <v>415</v>
      </c>
      <c r="J236" s="59" t="s">
        <v>408</v>
      </c>
      <c r="K236" s="84" t="s">
        <v>416</v>
      </c>
      <c r="L236" s="2" t="s">
        <v>18</v>
      </c>
    </row>
    <row r="237" spans="1:12">
      <c r="A237" s="64">
        <v>237</v>
      </c>
      <c r="B237" s="61" t="s">
        <v>400</v>
      </c>
      <c r="C237" s="61" t="s">
        <v>401</v>
      </c>
      <c r="D237" s="58" t="s">
        <v>402</v>
      </c>
      <c r="E237" s="58" t="s">
        <v>60</v>
      </c>
      <c r="F237" s="58" t="s">
        <v>417</v>
      </c>
      <c r="G237" s="61">
        <v>2018</v>
      </c>
      <c r="H237" s="61">
        <f t="shared" si="3"/>
        <v>2018</v>
      </c>
      <c r="I237" s="58" t="s">
        <v>404</v>
      </c>
      <c r="J237" s="61" t="s">
        <v>418</v>
      </c>
      <c r="K237" s="85" t="s">
        <v>419</v>
      </c>
      <c r="L237" s="2" t="s">
        <v>18</v>
      </c>
    </row>
    <row r="238" spans="1:12">
      <c r="A238" s="63">
        <v>238</v>
      </c>
      <c r="B238" s="59" t="s">
        <v>400</v>
      </c>
      <c r="C238" s="59" t="s">
        <v>401</v>
      </c>
      <c r="D238" s="60" t="s">
        <v>402</v>
      </c>
      <c r="E238" s="60" t="s">
        <v>13</v>
      </c>
      <c r="F238" s="60" t="s">
        <v>128</v>
      </c>
      <c r="G238" s="59">
        <v>2019</v>
      </c>
      <c r="H238" s="59">
        <f t="shared" si="3"/>
        <v>2019</v>
      </c>
      <c r="I238" s="60" t="s">
        <v>420</v>
      </c>
      <c r="J238" s="59" t="s">
        <v>421</v>
      </c>
      <c r="K238" s="84" t="s">
        <v>422</v>
      </c>
      <c r="L238" s="2" t="s">
        <v>18</v>
      </c>
    </row>
    <row r="239" spans="1:12">
      <c r="A239" s="64">
        <v>239</v>
      </c>
      <c r="B239" s="61" t="s">
        <v>400</v>
      </c>
      <c r="C239" s="61" t="s">
        <v>401</v>
      </c>
      <c r="D239" s="58" t="s">
        <v>402</v>
      </c>
      <c r="E239" s="58" t="s">
        <v>165</v>
      </c>
      <c r="F239" s="58" t="s">
        <v>423</v>
      </c>
      <c r="G239" s="61">
        <v>2019</v>
      </c>
      <c r="H239" s="61">
        <f t="shared" si="3"/>
        <v>2019</v>
      </c>
      <c r="I239" s="58" t="s">
        <v>415</v>
      </c>
      <c r="J239" s="61" t="s">
        <v>408</v>
      </c>
      <c r="K239" s="85" t="s">
        <v>424</v>
      </c>
      <c r="L239" s="2" t="s">
        <v>18</v>
      </c>
    </row>
    <row r="240" spans="1:12">
      <c r="A240" s="63">
        <v>240</v>
      </c>
      <c r="B240" s="59" t="s">
        <v>400</v>
      </c>
      <c r="C240" s="59" t="s">
        <v>401</v>
      </c>
      <c r="D240" s="60" t="s">
        <v>402</v>
      </c>
      <c r="E240" s="60" t="s">
        <v>36</v>
      </c>
      <c r="F240" s="60" t="s">
        <v>379</v>
      </c>
      <c r="G240" s="59">
        <v>2019</v>
      </c>
      <c r="H240" s="59">
        <f t="shared" si="3"/>
        <v>2019</v>
      </c>
      <c r="I240" s="60" t="s">
        <v>425</v>
      </c>
      <c r="J240" s="59" t="s">
        <v>408</v>
      </c>
      <c r="K240" s="84" t="s">
        <v>426</v>
      </c>
      <c r="L240" s="2" t="s">
        <v>18</v>
      </c>
    </row>
    <row r="241" spans="1:12">
      <c r="A241" s="64">
        <v>241</v>
      </c>
      <c r="B241" s="61" t="s">
        <v>400</v>
      </c>
      <c r="C241" s="61" t="s">
        <v>401</v>
      </c>
      <c r="D241" s="58" t="s">
        <v>402</v>
      </c>
      <c r="E241" s="58" t="s">
        <v>76</v>
      </c>
      <c r="F241" s="58" t="s">
        <v>368</v>
      </c>
      <c r="G241" s="61">
        <v>2019</v>
      </c>
      <c r="H241" s="61">
        <f t="shared" si="3"/>
        <v>2019</v>
      </c>
      <c r="I241" s="58" t="s">
        <v>411</v>
      </c>
      <c r="J241" s="61" t="s">
        <v>405</v>
      </c>
      <c r="K241" s="85" t="s">
        <v>427</v>
      </c>
      <c r="L241" s="2" t="s">
        <v>18</v>
      </c>
    </row>
    <row r="242" spans="1:12">
      <c r="A242" s="63">
        <v>242</v>
      </c>
      <c r="B242" s="59" t="s">
        <v>400</v>
      </c>
      <c r="C242" s="59" t="s">
        <v>401</v>
      </c>
      <c r="D242" s="60" t="s">
        <v>402</v>
      </c>
      <c r="E242" s="60" t="s">
        <v>172</v>
      </c>
      <c r="F242" s="60" t="s">
        <v>95</v>
      </c>
      <c r="G242" s="59">
        <v>2019</v>
      </c>
      <c r="H242" s="59">
        <f t="shared" si="3"/>
        <v>2019</v>
      </c>
      <c r="I242" s="60" t="s">
        <v>404</v>
      </c>
      <c r="J242" s="59" t="s">
        <v>408</v>
      </c>
      <c r="K242" s="84" t="s">
        <v>428</v>
      </c>
      <c r="L242" s="2" t="s">
        <v>18</v>
      </c>
    </row>
    <row r="243" spans="1:12">
      <c r="A243" s="64">
        <v>243</v>
      </c>
      <c r="B243" s="61" t="s">
        <v>400</v>
      </c>
      <c r="C243" s="61" t="s">
        <v>401</v>
      </c>
      <c r="D243" s="58" t="s">
        <v>402</v>
      </c>
      <c r="E243" s="58" t="s">
        <v>60</v>
      </c>
      <c r="F243" s="58" t="s">
        <v>429</v>
      </c>
      <c r="G243" s="61">
        <v>2019</v>
      </c>
      <c r="H243" s="61">
        <f t="shared" si="3"/>
        <v>2019</v>
      </c>
      <c r="I243" s="58" t="s">
        <v>425</v>
      </c>
      <c r="J243" s="61" t="s">
        <v>430</v>
      </c>
      <c r="K243" s="85" t="s">
        <v>431</v>
      </c>
      <c r="L243" s="2" t="s">
        <v>18</v>
      </c>
    </row>
    <row r="244" spans="1:12">
      <c r="A244" s="63">
        <v>244</v>
      </c>
      <c r="B244" s="59" t="s">
        <v>400</v>
      </c>
      <c r="C244" s="59" t="s">
        <v>401</v>
      </c>
      <c r="D244" s="60" t="s">
        <v>402</v>
      </c>
      <c r="E244" s="60" t="s">
        <v>32</v>
      </c>
      <c r="F244" s="60" t="s">
        <v>49</v>
      </c>
      <c r="G244" s="59">
        <v>2020</v>
      </c>
      <c r="H244" s="59">
        <f t="shared" si="3"/>
        <v>2020</v>
      </c>
      <c r="I244" s="60" t="s">
        <v>420</v>
      </c>
      <c r="J244" s="59" t="s">
        <v>16</v>
      </c>
      <c r="K244" s="84" t="s">
        <v>432</v>
      </c>
      <c r="L244" s="2" t="s">
        <v>18</v>
      </c>
    </row>
    <row r="245" spans="1:12">
      <c r="A245" s="64">
        <v>245</v>
      </c>
      <c r="B245" s="61" t="s">
        <v>400</v>
      </c>
      <c r="C245" s="61" t="s">
        <v>401</v>
      </c>
      <c r="D245" s="58" t="s">
        <v>402</v>
      </c>
      <c r="E245" s="58" t="s">
        <v>172</v>
      </c>
      <c r="F245" s="58" t="s">
        <v>322</v>
      </c>
      <c r="G245" s="61">
        <v>2020</v>
      </c>
      <c r="H245" s="61">
        <f t="shared" si="3"/>
        <v>2020</v>
      </c>
      <c r="I245" s="58" t="s">
        <v>404</v>
      </c>
      <c r="J245" s="61" t="s">
        <v>433</v>
      </c>
      <c r="K245" s="85" t="s">
        <v>434</v>
      </c>
      <c r="L245" s="2" t="s">
        <v>18</v>
      </c>
    </row>
    <row r="246" spans="1:12">
      <c r="A246" s="63">
        <v>246</v>
      </c>
      <c r="B246" s="59" t="s">
        <v>400</v>
      </c>
      <c r="C246" s="59" t="s">
        <v>401</v>
      </c>
      <c r="D246" s="60" t="s">
        <v>402</v>
      </c>
      <c r="E246" s="60" t="s">
        <v>13</v>
      </c>
      <c r="F246" s="60" t="s">
        <v>435</v>
      </c>
      <c r="G246" s="59">
        <v>2020</v>
      </c>
      <c r="H246" s="59">
        <f t="shared" si="3"/>
        <v>2020</v>
      </c>
      <c r="I246" s="60" t="s">
        <v>411</v>
      </c>
      <c r="J246" s="59" t="s">
        <v>16</v>
      </c>
      <c r="K246" s="84" t="s">
        <v>406</v>
      </c>
      <c r="L246" s="2" t="s">
        <v>18</v>
      </c>
    </row>
    <row r="247" spans="1:12">
      <c r="A247" s="64">
        <v>247</v>
      </c>
      <c r="B247" s="61" t="s">
        <v>400</v>
      </c>
      <c r="C247" s="61" t="s">
        <v>401</v>
      </c>
      <c r="D247" s="58" t="s">
        <v>402</v>
      </c>
      <c r="E247" s="58" t="s">
        <v>36</v>
      </c>
      <c r="F247" s="58" t="s">
        <v>436</v>
      </c>
      <c r="G247" s="61">
        <v>2020</v>
      </c>
      <c r="H247" s="61">
        <f t="shared" si="3"/>
        <v>2020</v>
      </c>
      <c r="I247" s="58" t="s">
        <v>425</v>
      </c>
      <c r="J247" s="61" t="s">
        <v>433</v>
      </c>
      <c r="K247" s="85" t="s">
        <v>437</v>
      </c>
      <c r="L247" s="2" t="s">
        <v>18</v>
      </c>
    </row>
    <row r="248" spans="1:12">
      <c r="A248" s="63">
        <v>248</v>
      </c>
      <c r="B248" s="59" t="s">
        <v>400</v>
      </c>
      <c r="C248" s="59" t="s">
        <v>401</v>
      </c>
      <c r="D248" s="60" t="s">
        <v>402</v>
      </c>
      <c r="E248" s="60" t="s">
        <v>36</v>
      </c>
      <c r="F248" s="60" t="s">
        <v>438</v>
      </c>
      <c r="G248" s="59">
        <v>2020</v>
      </c>
      <c r="H248" s="59">
        <f t="shared" si="3"/>
        <v>2020</v>
      </c>
      <c r="I248" s="60" t="s">
        <v>425</v>
      </c>
      <c r="J248" s="59" t="s">
        <v>433</v>
      </c>
      <c r="K248" s="84" t="s">
        <v>437</v>
      </c>
      <c r="L248" s="2" t="s">
        <v>18</v>
      </c>
    </row>
    <row r="249" spans="1:12">
      <c r="A249" s="64">
        <v>249</v>
      </c>
      <c r="B249" s="61" t="s">
        <v>400</v>
      </c>
      <c r="C249" s="61" t="s">
        <v>401</v>
      </c>
      <c r="D249" s="58" t="s">
        <v>402</v>
      </c>
      <c r="E249" s="58" t="s">
        <v>13</v>
      </c>
      <c r="F249" s="58" t="s">
        <v>439</v>
      </c>
      <c r="G249" s="61">
        <v>2020</v>
      </c>
      <c r="H249" s="61">
        <f t="shared" si="3"/>
        <v>2020</v>
      </c>
      <c r="I249" s="58" t="s">
        <v>440</v>
      </c>
      <c r="J249" s="61" t="s">
        <v>433</v>
      </c>
      <c r="K249" s="85" t="s">
        <v>441</v>
      </c>
      <c r="L249" s="2" t="s">
        <v>18</v>
      </c>
    </row>
    <row r="250" spans="1:12">
      <c r="A250" s="63">
        <v>250</v>
      </c>
      <c r="B250" s="59" t="s">
        <v>400</v>
      </c>
      <c r="C250" s="59" t="s">
        <v>401</v>
      </c>
      <c r="D250" s="60" t="s">
        <v>402</v>
      </c>
      <c r="E250" s="60" t="s">
        <v>13</v>
      </c>
      <c r="F250" s="60" t="s">
        <v>442</v>
      </c>
      <c r="G250" s="59">
        <v>2020</v>
      </c>
      <c r="H250" s="59">
        <f t="shared" si="3"/>
        <v>2020</v>
      </c>
      <c r="I250" s="60" t="s">
        <v>440</v>
      </c>
      <c r="J250" s="59" t="s">
        <v>433</v>
      </c>
      <c r="K250" s="84" t="s">
        <v>443</v>
      </c>
      <c r="L250" s="2" t="s">
        <v>18</v>
      </c>
    </row>
    <row r="251" spans="1:12">
      <c r="A251" s="64">
        <v>251</v>
      </c>
      <c r="B251" s="61" t="s">
        <v>400</v>
      </c>
      <c r="C251" s="61" t="s">
        <v>401</v>
      </c>
      <c r="D251" s="58" t="s">
        <v>402</v>
      </c>
      <c r="E251" s="58" t="s">
        <v>13</v>
      </c>
      <c r="F251" s="58" t="s">
        <v>444</v>
      </c>
      <c r="G251" s="61">
        <v>2020</v>
      </c>
      <c r="H251" s="61">
        <f t="shared" si="3"/>
        <v>2020</v>
      </c>
      <c r="I251" s="58" t="s">
        <v>440</v>
      </c>
      <c r="J251" s="61" t="s">
        <v>433</v>
      </c>
      <c r="K251" s="85" t="s">
        <v>445</v>
      </c>
      <c r="L251" s="2" t="s">
        <v>18</v>
      </c>
    </row>
    <row r="252" spans="1:12">
      <c r="A252" s="63">
        <v>252</v>
      </c>
      <c r="B252" s="59" t="s">
        <v>400</v>
      </c>
      <c r="C252" s="59" t="s">
        <v>401</v>
      </c>
      <c r="D252" s="60" t="s">
        <v>402</v>
      </c>
      <c r="E252" s="60" t="s">
        <v>21</v>
      </c>
      <c r="F252" s="60" t="s">
        <v>446</v>
      </c>
      <c r="G252" s="59">
        <v>2020</v>
      </c>
      <c r="H252" s="59">
        <f t="shared" si="3"/>
        <v>2020</v>
      </c>
      <c r="I252" s="60" t="s">
        <v>404</v>
      </c>
      <c r="J252" s="59" t="s">
        <v>433</v>
      </c>
      <c r="K252" s="84" t="s">
        <v>447</v>
      </c>
      <c r="L252" s="2" t="s">
        <v>18</v>
      </c>
    </row>
    <row r="253" spans="1:12">
      <c r="A253" s="64">
        <v>253</v>
      </c>
      <c r="B253" s="61" t="s">
        <v>400</v>
      </c>
      <c r="C253" s="61" t="s">
        <v>401</v>
      </c>
      <c r="D253" s="58" t="s">
        <v>402</v>
      </c>
      <c r="E253" s="58" t="s">
        <v>76</v>
      </c>
      <c r="F253" s="58" t="s">
        <v>448</v>
      </c>
      <c r="G253" s="61">
        <v>2020</v>
      </c>
      <c r="H253" s="61">
        <f t="shared" si="3"/>
        <v>2020</v>
      </c>
      <c r="I253" s="58" t="s">
        <v>425</v>
      </c>
      <c r="J253" s="61" t="s">
        <v>16</v>
      </c>
      <c r="K253" s="85" t="s">
        <v>449</v>
      </c>
      <c r="L253" s="2" t="s">
        <v>18</v>
      </c>
    </row>
    <row r="254" spans="1:12">
      <c r="A254" s="63">
        <v>254</v>
      </c>
      <c r="B254" s="59" t="s">
        <v>400</v>
      </c>
      <c r="C254" s="59" t="s">
        <v>401</v>
      </c>
      <c r="D254" s="60" t="s">
        <v>402</v>
      </c>
      <c r="E254" s="60" t="s">
        <v>76</v>
      </c>
      <c r="F254" s="60" t="s">
        <v>450</v>
      </c>
      <c r="G254" s="59">
        <v>2020</v>
      </c>
      <c r="H254" s="59">
        <f t="shared" si="3"/>
        <v>2020</v>
      </c>
      <c r="I254" s="60" t="s">
        <v>425</v>
      </c>
      <c r="J254" s="59" t="s">
        <v>408</v>
      </c>
      <c r="K254" s="84" t="s">
        <v>451</v>
      </c>
      <c r="L254" s="2" t="s">
        <v>18</v>
      </c>
    </row>
    <row r="255" spans="1:12">
      <c r="A255" s="64">
        <v>255</v>
      </c>
      <c r="B255" s="61" t="s">
        <v>400</v>
      </c>
      <c r="C255" s="61" t="s">
        <v>401</v>
      </c>
      <c r="D255" s="58" t="s">
        <v>402</v>
      </c>
      <c r="E255" s="58" t="s">
        <v>76</v>
      </c>
      <c r="F255" s="58" t="s">
        <v>450</v>
      </c>
      <c r="G255" s="61">
        <v>2020</v>
      </c>
      <c r="H255" s="61">
        <f t="shared" si="3"/>
        <v>2020</v>
      </c>
      <c r="I255" s="58" t="s">
        <v>425</v>
      </c>
      <c r="J255" s="61" t="s">
        <v>433</v>
      </c>
      <c r="K255" s="85" t="s">
        <v>452</v>
      </c>
      <c r="L255" s="2" t="s">
        <v>18</v>
      </c>
    </row>
    <row r="256" spans="1:12">
      <c r="A256" s="63">
        <v>256</v>
      </c>
      <c r="B256" s="59" t="s">
        <v>400</v>
      </c>
      <c r="C256" s="59" t="s">
        <v>401</v>
      </c>
      <c r="D256" s="60" t="s">
        <v>402</v>
      </c>
      <c r="E256" s="60" t="s">
        <v>13</v>
      </c>
      <c r="F256" s="60" t="s">
        <v>453</v>
      </c>
      <c r="G256" s="59">
        <v>2020</v>
      </c>
      <c r="H256" s="59">
        <f t="shared" si="3"/>
        <v>2020</v>
      </c>
      <c r="I256" s="60" t="s">
        <v>404</v>
      </c>
      <c r="J256" s="59" t="s">
        <v>433</v>
      </c>
      <c r="K256" s="84" t="s">
        <v>454</v>
      </c>
      <c r="L256" s="2" t="s">
        <v>18</v>
      </c>
    </row>
    <row r="257" spans="1:12">
      <c r="A257" s="64">
        <v>257</v>
      </c>
      <c r="B257" s="61" t="s">
        <v>400</v>
      </c>
      <c r="C257" s="61" t="s">
        <v>401</v>
      </c>
      <c r="D257" s="58" t="s">
        <v>402</v>
      </c>
      <c r="E257" s="58" t="s">
        <v>60</v>
      </c>
      <c r="F257" s="58" t="s">
        <v>455</v>
      </c>
      <c r="G257" s="61">
        <v>2020</v>
      </c>
      <c r="H257" s="61">
        <f t="shared" si="3"/>
        <v>2020</v>
      </c>
      <c r="I257" s="58" t="s">
        <v>420</v>
      </c>
      <c r="J257" s="61" t="s">
        <v>408</v>
      </c>
      <c r="K257" s="85" t="s">
        <v>456</v>
      </c>
      <c r="L257" s="2" t="s">
        <v>18</v>
      </c>
    </row>
    <row r="258" spans="1:12">
      <c r="A258" s="63">
        <v>258</v>
      </c>
      <c r="B258" s="59" t="s">
        <v>400</v>
      </c>
      <c r="C258" s="59" t="s">
        <v>401</v>
      </c>
      <c r="D258" s="60" t="s">
        <v>402</v>
      </c>
      <c r="E258" s="60" t="s">
        <v>21</v>
      </c>
      <c r="F258" s="60" t="s">
        <v>457</v>
      </c>
      <c r="G258" s="59">
        <v>2020</v>
      </c>
      <c r="H258" s="59">
        <f t="shared" si="3"/>
        <v>2020</v>
      </c>
      <c r="I258" s="60" t="s">
        <v>420</v>
      </c>
      <c r="J258" s="59" t="s">
        <v>433</v>
      </c>
      <c r="K258" s="84" t="s">
        <v>458</v>
      </c>
      <c r="L258" s="2" t="s">
        <v>18</v>
      </c>
    </row>
    <row r="259" spans="1:12">
      <c r="A259" s="64">
        <v>259</v>
      </c>
      <c r="B259" s="61" t="s">
        <v>400</v>
      </c>
      <c r="C259" s="61" t="s">
        <v>401</v>
      </c>
      <c r="D259" s="58" t="s">
        <v>402</v>
      </c>
      <c r="E259" s="58" t="s">
        <v>13</v>
      </c>
      <c r="F259" s="58" t="s">
        <v>459</v>
      </c>
      <c r="G259" s="61">
        <v>2020</v>
      </c>
      <c r="H259" s="61">
        <f t="shared" si="3"/>
        <v>2020</v>
      </c>
      <c r="I259" s="58" t="s">
        <v>425</v>
      </c>
      <c r="J259" s="61" t="s">
        <v>433</v>
      </c>
      <c r="K259" s="85" t="s">
        <v>460</v>
      </c>
      <c r="L259" s="2" t="s">
        <v>18</v>
      </c>
    </row>
    <row r="260" spans="1:12">
      <c r="A260" s="63">
        <v>260</v>
      </c>
      <c r="B260" s="59" t="s">
        <v>400</v>
      </c>
      <c r="C260" s="59" t="s">
        <v>401</v>
      </c>
      <c r="D260" s="60" t="s">
        <v>402</v>
      </c>
      <c r="E260" s="60" t="s">
        <v>76</v>
      </c>
      <c r="F260" s="60" t="s">
        <v>461</v>
      </c>
      <c r="G260" s="59">
        <v>2020</v>
      </c>
      <c r="H260" s="59">
        <f t="shared" ref="H260:H277" si="4">G260</f>
        <v>2020</v>
      </c>
      <c r="I260" s="60" t="s">
        <v>462</v>
      </c>
      <c r="J260" s="59" t="s">
        <v>433</v>
      </c>
      <c r="K260" s="84" t="s">
        <v>463</v>
      </c>
      <c r="L260" s="2" t="s">
        <v>18</v>
      </c>
    </row>
    <row r="261" spans="1:12">
      <c r="A261" s="64">
        <v>261</v>
      </c>
      <c r="B261" s="61" t="s">
        <v>400</v>
      </c>
      <c r="C261" s="61" t="s">
        <v>401</v>
      </c>
      <c r="D261" s="58" t="s">
        <v>402</v>
      </c>
      <c r="E261" s="58" t="s">
        <v>41</v>
      </c>
      <c r="F261" s="58" t="s">
        <v>167</v>
      </c>
      <c r="G261" s="61">
        <v>2021</v>
      </c>
      <c r="H261" s="61">
        <f t="shared" si="4"/>
        <v>2021</v>
      </c>
      <c r="I261" s="58" t="s">
        <v>464</v>
      </c>
      <c r="J261" s="61" t="s">
        <v>16</v>
      </c>
      <c r="K261" s="85" t="s">
        <v>465</v>
      </c>
      <c r="L261" s="2" t="s">
        <v>18</v>
      </c>
    </row>
    <row r="262" spans="1:12">
      <c r="A262" s="63">
        <v>262</v>
      </c>
      <c r="B262" s="59" t="s">
        <v>400</v>
      </c>
      <c r="C262" s="59" t="s">
        <v>401</v>
      </c>
      <c r="D262" s="60" t="s">
        <v>402</v>
      </c>
      <c r="E262" s="60" t="s">
        <v>13</v>
      </c>
      <c r="F262" s="60" t="s">
        <v>466</v>
      </c>
      <c r="G262" s="59">
        <v>2021</v>
      </c>
      <c r="H262" s="59">
        <f t="shared" si="4"/>
        <v>2021</v>
      </c>
      <c r="I262" s="60" t="s">
        <v>464</v>
      </c>
      <c r="J262" s="59" t="s">
        <v>16</v>
      </c>
      <c r="K262" s="84" t="s">
        <v>467</v>
      </c>
      <c r="L262" s="2" t="s">
        <v>18</v>
      </c>
    </row>
    <row r="263" spans="1:12">
      <c r="A263" s="64">
        <v>263</v>
      </c>
      <c r="B263" s="61" t="s">
        <v>400</v>
      </c>
      <c r="C263" s="61" t="s">
        <v>401</v>
      </c>
      <c r="D263" s="58" t="s">
        <v>402</v>
      </c>
      <c r="E263" s="58" t="s">
        <v>13</v>
      </c>
      <c r="F263" s="58" t="s">
        <v>128</v>
      </c>
      <c r="G263" s="61">
        <v>2021</v>
      </c>
      <c r="H263" s="61">
        <f t="shared" si="4"/>
        <v>2021</v>
      </c>
      <c r="I263" s="58" t="s">
        <v>464</v>
      </c>
      <c r="J263" s="61" t="s">
        <v>16</v>
      </c>
      <c r="K263" s="85" t="s">
        <v>468</v>
      </c>
      <c r="L263" s="2" t="s">
        <v>18</v>
      </c>
    </row>
    <row r="264" spans="1:12">
      <c r="A264" s="63">
        <v>264</v>
      </c>
      <c r="B264" s="59" t="s">
        <v>400</v>
      </c>
      <c r="C264" s="59" t="s">
        <v>401</v>
      </c>
      <c r="D264" s="60" t="s">
        <v>402</v>
      </c>
      <c r="E264" s="60" t="s">
        <v>165</v>
      </c>
      <c r="F264" s="60" t="s">
        <v>469</v>
      </c>
      <c r="G264" s="59">
        <v>2021</v>
      </c>
      <c r="H264" s="59">
        <f t="shared" si="4"/>
        <v>2021</v>
      </c>
      <c r="I264" s="60" t="s">
        <v>464</v>
      </c>
      <c r="J264" s="59" t="s">
        <v>16</v>
      </c>
      <c r="K264" s="84" t="s">
        <v>470</v>
      </c>
      <c r="L264" s="2" t="s">
        <v>18</v>
      </c>
    </row>
    <row r="265" spans="1:12">
      <c r="A265" s="64">
        <v>265</v>
      </c>
      <c r="B265" s="61" t="s">
        <v>400</v>
      </c>
      <c r="C265" s="61" t="s">
        <v>401</v>
      </c>
      <c r="D265" s="58" t="s">
        <v>402</v>
      </c>
      <c r="E265" s="58" t="s">
        <v>13</v>
      </c>
      <c r="F265" s="58" t="s">
        <v>471</v>
      </c>
      <c r="G265" s="61">
        <v>2021</v>
      </c>
      <c r="H265" s="61">
        <f t="shared" si="4"/>
        <v>2021</v>
      </c>
      <c r="I265" s="58" t="s">
        <v>464</v>
      </c>
      <c r="J265" s="61" t="s">
        <v>16</v>
      </c>
      <c r="K265" s="85" t="s">
        <v>472</v>
      </c>
      <c r="L265" s="2" t="s">
        <v>18</v>
      </c>
    </row>
    <row r="266" spans="1:12">
      <c r="A266" s="63">
        <v>266</v>
      </c>
      <c r="B266" s="59" t="s">
        <v>400</v>
      </c>
      <c r="C266" s="59" t="s">
        <v>401</v>
      </c>
      <c r="D266" s="60" t="s">
        <v>402</v>
      </c>
      <c r="E266" s="60" t="s">
        <v>13</v>
      </c>
      <c r="F266" s="60" t="s">
        <v>473</v>
      </c>
      <c r="G266" s="59">
        <v>2021</v>
      </c>
      <c r="H266" s="59">
        <f t="shared" si="4"/>
        <v>2021</v>
      </c>
      <c r="I266" s="60" t="s">
        <v>464</v>
      </c>
      <c r="J266" s="59" t="s">
        <v>16</v>
      </c>
      <c r="K266" s="84" t="s">
        <v>467</v>
      </c>
      <c r="L266" s="2" t="s">
        <v>18</v>
      </c>
    </row>
    <row r="267" spans="1:12">
      <c r="A267" s="64">
        <v>267</v>
      </c>
      <c r="B267" s="61" t="s">
        <v>400</v>
      </c>
      <c r="C267" s="61" t="s">
        <v>401</v>
      </c>
      <c r="D267" s="58" t="s">
        <v>402</v>
      </c>
      <c r="E267" s="58" t="s">
        <v>13</v>
      </c>
      <c r="F267" s="58" t="s">
        <v>474</v>
      </c>
      <c r="G267" s="61">
        <v>2021</v>
      </c>
      <c r="H267" s="61">
        <f t="shared" si="4"/>
        <v>2021</v>
      </c>
      <c r="I267" s="58" t="s">
        <v>464</v>
      </c>
      <c r="J267" s="61" t="s">
        <v>16</v>
      </c>
      <c r="K267" s="85" t="s">
        <v>475</v>
      </c>
      <c r="L267" s="2" t="s">
        <v>18</v>
      </c>
    </row>
    <row r="268" spans="1:12">
      <c r="A268" s="63">
        <v>268</v>
      </c>
      <c r="B268" s="59" t="s">
        <v>400</v>
      </c>
      <c r="C268" s="59" t="s">
        <v>401</v>
      </c>
      <c r="D268" s="60" t="s">
        <v>402</v>
      </c>
      <c r="E268" s="60" t="s">
        <v>13</v>
      </c>
      <c r="F268" s="60" t="s">
        <v>476</v>
      </c>
      <c r="G268" s="59">
        <v>2021</v>
      </c>
      <c r="H268" s="59">
        <f t="shared" si="4"/>
        <v>2021</v>
      </c>
      <c r="I268" s="60" t="s">
        <v>464</v>
      </c>
      <c r="J268" s="59" t="s">
        <v>16</v>
      </c>
      <c r="K268" s="84" t="s">
        <v>475</v>
      </c>
      <c r="L268" s="2" t="s">
        <v>18</v>
      </c>
    </row>
    <row r="269" spans="1:12">
      <c r="A269" s="64">
        <v>269</v>
      </c>
      <c r="B269" s="61" t="s">
        <v>400</v>
      </c>
      <c r="C269" s="61" t="s">
        <v>401</v>
      </c>
      <c r="D269" s="58" t="s">
        <v>402</v>
      </c>
      <c r="E269" s="58" t="s">
        <v>13</v>
      </c>
      <c r="F269" s="58" t="s">
        <v>477</v>
      </c>
      <c r="G269" s="61">
        <v>2021</v>
      </c>
      <c r="H269" s="61">
        <f t="shared" si="4"/>
        <v>2021</v>
      </c>
      <c r="I269" s="58" t="s">
        <v>464</v>
      </c>
      <c r="J269" s="61" t="s">
        <v>16</v>
      </c>
      <c r="K269" s="85" t="s">
        <v>467</v>
      </c>
      <c r="L269" s="2" t="s">
        <v>18</v>
      </c>
    </row>
    <row r="270" spans="1:12">
      <c r="A270" s="63">
        <v>270</v>
      </c>
      <c r="B270" s="59" t="s">
        <v>400</v>
      </c>
      <c r="C270" s="59" t="s">
        <v>401</v>
      </c>
      <c r="D270" s="60" t="s">
        <v>402</v>
      </c>
      <c r="E270" s="60" t="s">
        <v>13</v>
      </c>
      <c r="F270" s="60" t="s">
        <v>301</v>
      </c>
      <c r="G270" s="59">
        <v>2021</v>
      </c>
      <c r="H270" s="59">
        <f t="shared" si="4"/>
        <v>2021</v>
      </c>
      <c r="I270" s="60" t="s">
        <v>404</v>
      </c>
      <c r="J270" s="59" t="s">
        <v>16</v>
      </c>
      <c r="K270" s="84" t="s">
        <v>478</v>
      </c>
      <c r="L270" s="2" t="s">
        <v>18</v>
      </c>
    </row>
    <row r="271" spans="1:12">
      <c r="A271" s="64">
        <v>271</v>
      </c>
      <c r="B271" s="61" t="s">
        <v>400</v>
      </c>
      <c r="C271" s="61" t="s">
        <v>401</v>
      </c>
      <c r="D271" s="58" t="s">
        <v>402</v>
      </c>
      <c r="E271" s="58" t="s">
        <v>13</v>
      </c>
      <c r="F271" s="58" t="s">
        <v>301</v>
      </c>
      <c r="G271" s="61">
        <v>2021</v>
      </c>
      <c r="H271" s="61">
        <f t="shared" si="4"/>
        <v>2021</v>
      </c>
      <c r="I271" s="58" t="s">
        <v>411</v>
      </c>
      <c r="J271" s="61" t="s">
        <v>16</v>
      </c>
      <c r="K271" s="85" t="s">
        <v>479</v>
      </c>
      <c r="L271" s="2" t="s">
        <v>18</v>
      </c>
    </row>
    <row r="272" spans="1:12">
      <c r="A272" s="63">
        <v>272</v>
      </c>
      <c r="B272" s="59" t="s">
        <v>400</v>
      </c>
      <c r="C272" s="59" t="s">
        <v>401</v>
      </c>
      <c r="D272" s="60" t="s">
        <v>402</v>
      </c>
      <c r="E272" s="60" t="s">
        <v>13</v>
      </c>
      <c r="F272" s="60" t="s">
        <v>480</v>
      </c>
      <c r="G272" s="59">
        <v>2021</v>
      </c>
      <c r="H272" s="59">
        <f t="shared" si="4"/>
        <v>2021</v>
      </c>
      <c r="I272" s="60" t="s">
        <v>464</v>
      </c>
      <c r="J272" s="59" t="s">
        <v>16</v>
      </c>
      <c r="K272" s="84" t="s">
        <v>481</v>
      </c>
      <c r="L272" s="2" t="s">
        <v>18</v>
      </c>
    </row>
    <row r="273" spans="1:12">
      <c r="A273" s="64">
        <v>273</v>
      </c>
      <c r="B273" s="61" t="s">
        <v>400</v>
      </c>
      <c r="C273" s="61" t="s">
        <v>401</v>
      </c>
      <c r="D273" s="58" t="s">
        <v>402</v>
      </c>
      <c r="E273" s="58" t="s">
        <v>13</v>
      </c>
      <c r="F273" s="58" t="s">
        <v>482</v>
      </c>
      <c r="G273" s="61">
        <v>2021</v>
      </c>
      <c r="H273" s="61">
        <f t="shared" si="4"/>
        <v>2021</v>
      </c>
      <c r="I273" s="58" t="s">
        <v>404</v>
      </c>
      <c r="J273" s="61" t="s">
        <v>16</v>
      </c>
      <c r="K273" s="85" t="s">
        <v>483</v>
      </c>
      <c r="L273" s="2" t="s">
        <v>18</v>
      </c>
    </row>
    <row r="274" spans="1:12">
      <c r="A274" s="63">
        <v>274</v>
      </c>
      <c r="B274" s="59" t="s">
        <v>400</v>
      </c>
      <c r="C274" s="59" t="s">
        <v>401</v>
      </c>
      <c r="D274" s="60" t="s">
        <v>402</v>
      </c>
      <c r="E274" s="60" t="s">
        <v>13</v>
      </c>
      <c r="F274" s="60" t="s">
        <v>484</v>
      </c>
      <c r="G274" s="59">
        <v>2021</v>
      </c>
      <c r="H274" s="59">
        <f t="shared" si="4"/>
        <v>2021</v>
      </c>
      <c r="I274" s="60" t="s">
        <v>404</v>
      </c>
      <c r="J274" s="59" t="s">
        <v>433</v>
      </c>
      <c r="K274" s="84" t="s">
        <v>485</v>
      </c>
      <c r="L274" s="2" t="s">
        <v>18</v>
      </c>
    </row>
    <row r="275" spans="1:12">
      <c r="A275" s="64">
        <v>275</v>
      </c>
      <c r="B275" s="61" t="s">
        <v>400</v>
      </c>
      <c r="C275" s="61" t="s">
        <v>401</v>
      </c>
      <c r="D275" s="58" t="s">
        <v>402</v>
      </c>
      <c r="E275" s="58" t="s">
        <v>21</v>
      </c>
      <c r="F275" s="58" t="s">
        <v>486</v>
      </c>
      <c r="G275" s="61">
        <v>2021</v>
      </c>
      <c r="H275" s="61">
        <f t="shared" si="4"/>
        <v>2021</v>
      </c>
      <c r="I275" s="58" t="s">
        <v>404</v>
      </c>
      <c r="J275" s="61" t="s">
        <v>16</v>
      </c>
      <c r="K275" s="85" t="s">
        <v>487</v>
      </c>
      <c r="L275" s="2" t="s">
        <v>18</v>
      </c>
    </row>
    <row r="276" spans="1:12">
      <c r="A276" s="63">
        <v>276</v>
      </c>
      <c r="B276" s="59" t="s">
        <v>400</v>
      </c>
      <c r="C276" s="59" t="s">
        <v>401</v>
      </c>
      <c r="D276" s="60" t="s">
        <v>402</v>
      </c>
      <c r="E276" s="60" t="s">
        <v>21</v>
      </c>
      <c r="F276" s="60" t="s">
        <v>407</v>
      </c>
      <c r="G276" s="59">
        <v>2021</v>
      </c>
      <c r="H276" s="59">
        <f t="shared" si="4"/>
        <v>2021</v>
      </c>
      <c r="I276" s="60" t="s">
        <v>404</v>
      </c>
      <c r="J276" s="59" t="s">
        <v>16</v>
      </c>
      <c r="K276" s="84" t="s">
        <v>488</v>
      </c>
      <c r="L276" s="2" t="s">
        <v>18</v>
      </c>
    </row>
    <row r="277" spans="1:12">
      <c r="A277" s="64">
        <v>277</v>
      </c>
      <c r="B277" s="61" t="s">
        <v>400</v>
      </c>
      <c r="C277" s="61" t="s">
        <v>401</v>
      </c>
      <c r="D277" s="58" t="s">
        <v>402</v>
      </c>
      <c r="E277" s="58" t="s">
        <v>13</v>
      </c>
      <c r="F277" s="58" t="s">
        <v>301</v>
      </c>
      <c r="G277" s="61">
        <v>2021</v>
      </c>
      <c r="H277" s="61">
        <f t="shared" si="4"/>
        <v>2021</v>
      </c>
      <c r="I277" s="58" t="s">
        <v>404</v>
      </c>
      <c r="J277" s="61" t="s">
        <v>16</v>
      </c>
      <c r="K277" s="85" t="s">
        <v>489</v>
      </c>
      <c r="L277" s="2" t="s">
        <v>18</v>
      </c>
    </row>
    <row r="278" spans="1:12">
      <c r="A278" s="63">
        <v>278</v>
      </c>
      <c r="B278" s="59" t="s">
        <v>490</v>
      </c>
      <c r="C278" s="59" t="s">
        <v>491</v>
      </c>
      <c r="D278" s="60" t="s">
        <v>120</v>
      </c>
      <c r="E278" s="60" t="s">
        <v>13</v>
      </c>
      <c r="F278" s="60"/>
      <c r="G278" s="59"/>
      <c r="H278" s="59"/>
      <c r="I278" s="60"/>
      <c r="J278" s="59"/>
      <c r="K278" s="84"/>
      <c r="L278" s="2" t="s">
        <v>18</v>
      </c>
    </row>
    <row r="279" spans="1:12">
      <c r="A279" s="64">
        <v>279</v>
      </c>
      <c r="B279" s="61" t="s">
        <v>490</v>
      </c>
      <c r="C279" s="61" t="s">
        <v>491</v>
      </c>
      <c r="D279" s="58" t="s">
        <v>120</v>
      </c>
      <c r="E279" s="58" t="s">
        <v>13</v>
      </c>
      <c r="F279" s="58"/>
      <c r="G279" s="61"/>
      <c r="H279" s="61"/>
      <c r="I279" s="58"/>
      <c r="J279" s="61"/>
      <c r="K279" s="85"/>
      <c r="L279" s="2" t="s">
        <v>18</v>
      </c>
    </row>
    <row r="280" spans="1:12">
      <c r="A280" s="63">
        <v>280</v>
      </c>
      <c r="B280" s="59" t="s">
        <v>490</v>
      </c>
      <c r="C280" s="59" t="s">
        <v>491</v>
      </c>
      <c r="D280" s="60" t="s">
        <v>120</v>
      </c>
      <c r="E280" s="60" t="s">
        <v>13</v>
      </c>
      <c r="F280" s="60"/>
      <c r="G280" s="59"/>
      <c r="H280" s="59"/>
      <c r="I280" s="60"/>
      <c r="J280" s="59"/>
      <c r="K280" s="84"/>
      <c r="L280" s="2" t="s">
        <v>18</v>
      </c>
    </row>
    <row r="281" spans="1:12">
      <c r="A281" s="64">
        <v>281</v>
      </c>
      <c r="B281" s="61" t="s">
        <v>490</v>
      </c>
      <c r="C281" s="61" t="s">
        <v>491</v>
      </c>
      <c r="D281" s="58" t="s">
        <v>120</v>
      </c>
      <c r="E281" s="58" t="s">
        <v>13</v>
      </c>
      <c r="F281" s="58"/>
      <c r="G281" s="61"/>
      <c r="H281" s="61"/>
      <c r="I281" s="58"/>
      <c r="J281" s="61"/>
      <c r="K281" s="85"/>
      <c r="L281" s="2" t="s">
        <v>18</v>
      </c>
    </row>
    <row r="282" spans="1:12">
      <c r="A282" s="63">
        <v>282</v>
      </c>
      <c r="B282" s="59" t="s">
        <v>490</v>
      </c>
      <c r="C282" s="59" t="s">
        <v>491</v>
      </c>
      <c r="D282" s="60" t="s">
        <v>120</v>
      </c>
      <c r="E282" s="60" t="s">
        <v>13</v>
      </c>
      <c r="F282" s="60"/>
      <c r="G282" s="59"/>
      <c r="H282" s="59"/>
      <c r="I282" s="60"/>
      <c r="J282" s="59"/>
      <c r="K282" s="84"/>
      <c r="L282" s="2" t="s">
        <v>18</v>
      </c>
    </row>
    <row r="283" spans="1:12">
      <c r="A283" s="64">
        <v>283</v>
      </c>
      <c r="B283" s="61" t="s">
        <v>490</v>
      </c>
      <c r="C283" s="61" t="s">
        <v>491</v>
      </c>
      <c r="D283" s="58" t="s">
        <v>120</v>
      </c>
      <c r="E283" s="58" t="s">
        <v>13</v>
      </c>
      <c r="F283" s="58"/>
      <c r="G283" s="61"/>
      <c r="H283" s="61"/>
      <c r="I283" s="58"/>
      <c r="J283" s="61"/>
      <c r="K283" s="85"/>
      <c r="L283" s="2" t="s">
        <v>18</v>
      </c>
    </row>
    <row r="284" spans="1:12">
      <c r="A284" s="63">
        <v>284</v>
      </c>
      <c r="B284" s="59" t="s">
        <v>490</v>
      </c>
      <c r="C284" s="59" t="s">
        <v>491</v>
      </c>
      <c r="D284" s="60" t="s">
        <v>120</v>
      </c>
      <c r="E284" s="60" t="s">
        <v>13</v>
      </c>
      <c r="F284" s="60"/>
      <c r="G284" s="59"/>
      <c r="H284" s="59"/>
      <c r="I284" s="60"/>
      <c r="J284" s="59"/>
      <c r="K284" s="84"/>
      <c r="L284" s="2" t="s">
        <v>18</v>
      </c>
    </row>
    <row r="285" spans="1:12">
      <c r="A285" s="64">
        <v>285</v>
      </c>
      <c r="B285" s="61" t="s">
        <v>490</v>
      </c>
      <c r="C285" s="61" t="s">
        <v>491</v>
      </c>
      <c r="D285" s="58" t="s">
        <v>120</v>
      </c>
      <c r="E285" s="58" t="s">
        <v>13</v>
      </c>
      <c r="F285" s="58"/>
      <c r="G285" s="61"/>
      <c r="H285" s="61"/>
      <c r="I285" s="58"/>
      <c r="J285" s="61"/>
      <c r="K285" s="85"/>
      <c r="L285" s="2" t="s">
        <v>18</v>
      </c>
    </row>
    <row r="286" spans="1:12">
      <c r="A286" s="63">
        <v>286</v>
      </c>
      <c r="B286" s="59" t="s">
        <v>490</v>
      </c>
      <c r="C286" s="59" t="s">
        <v>491</v>
      </c>
      <c r="D286" s="60" t="s">
        <v>120</v>
      </c>
      <c r="E286" s="60" t="s">
        <v>13</v>
      </c>
      <c r="F286" s="60"/>
      <c r="G286" s="59"/>
      <c r="H286" s="59"/>
      <c r="I286" s="60"/>
      <c r="J286" s="59"/>
      <c r="K286" s="84"/>
      <c r="L286" s="2" t="s">
        <v>18</v>
      </c>
    </row>
    <row r="287" spans="1:12">
      <c r="A287" s="64">
        <v>287</v>
      </c>
      <c r="B287" s="61" t="s">
        <v>490</v>
      </c>
      <c r="C287" s="61" t="s">
        <v>491</v>
      </c>
      <c r="D287" s="58" t="s">
        <v>120</v>
      </c>
      <c r="E287" s="58" t="s">
        <v>13</v>
      </c>
      <c r="F287" s="58"/>
      <c r="G287" s="61"/>
      <c r="H287" s="61"/>
      <c r="I287" s="58"/>
      <c r="J287" s="61"/>
      <c r="K287" s="85"/>
      <c r="L287" s="2" t="s">
        <v>18</v>
      </c>
    </row>
    <row r="288" spans="1:12">
      <c r="A288" s="63">
        <v>288</v>
      </c>
      <c r="B288" s="59" t="s">
        <v>490</v>
      </c>
      <c r="C288" s="59" t="s">
        <v>491</v>
      </c>
      <c r="D288" s="60" t="s">
        <v>120</v>
      </c>
      <c r="E288" s="60" t="s">
        <v>13</v>
      </c>
      <c r="F288" s="60"/>
      <c r="G288" s="59"/>
      <c r="H288" s="59"/>
      <c r="I288" s="60"/>
      <c r="J288" s="59"/>
      <c r="K288" s="84"/>
      <c r="L288" s="2" t="s">
        <v>18</v>
      </c>
    </row>
    <row r="289" spans="1:12">
      <c r="A289" s="64">
        <v>289</v>
      </c>
      <c r="B289" s="61" t="s">
        <v>490</v>
      </c>
      <c r="C289" s="61" t="s">
        <v>491</v>
      </c>
      <c r="D289" s="58" t="s">
        <v>120</v>
      </c>
      <c r="E289" s="58" t="s">
        <v>13</v>
      </c>
      <c r="F289" s="58"/>
      <c r="G289" s="61"/>
      <c r="H289" s="61"/>
      <c r="I289" s="58"/>
      <c r="J289" s="61"/>
      <c r="K289" s="85"/>
      <c r="L289" s="2" t="s">
        <v>18</v>
      </c>
    </row>
    <row r="290" spans="1:12">
      <c r="A290" s="63">
        <v>290</v>
      </c>
      <c r="B290" s="59" t="s">
        <v>490</v>
      </c>
      <c r="C290" s="59" t="s">
        <v>491</v>
      </c>
      <c r="D290" s="60" t="s">
        <v>120</v>
      </c>
      <c r="E290" s="60" t="s">
        <v>13</v>
      </c>
      <c r="F290" s="60"/>
      <c r="G290" s="59"/>
      <c r="H290" s="59"/>
      <c r="I290" s="60"/>
      <c r="J290" s="59"/>
      <c r="K290" s="84"/>
      <c r="L290" s="2" t="s">
        <v>18</v>
      </c>
    </row>
    <row r="291" spans="1:12">
      <c r="A291" s="64">
        <v>291</v>
      </c>
      <c r="B291" s="61" t="s">
        <v>490</v>
      </c>
      <c r="C291" s="61" t="s">
        <v>491</v>
      </c>
      <c r="D291" s="58" t="s">
        <v>120</v>
      </c>
      <c r="E291" s="58" t="s">
        <v>13</v>
      </c>
      <c r="F291" s="58"/>
      <c r="G291" s="61"/>
      <c r="H291" s="61"/>
      <c r="I291" s="58"/>
      <c r="J291" s="61"/>
      <c r="K291" s="85"/>
      <c r="L291" s="2" t="s">
        <v>18</v>
      </c>
    </row>
    <row r="292" spans="1:12">
      <c r="A292" s="63">
        <v>292</v>
      </c>
      <c r="B292" s="59" t="s">
        <v>490</v>
      </c>
      <c r="C292" s="59" t="s">
        <v>491</v>
      </c>
      <c r="D292" s="60" t="s">
        <v>120</v>
      </c>
      <c r="E292" s="60" t="s">
        <v>13</v>
      </c>
      <c r="F292" s="60"/>
      <c r="G292" s="59"/>
      <c r="H292" s="59"/>
      <c r="I292" s="60"/>
      <c r="J292" s="59"/>
      <c r="K292" s="84"/>
      <c r="L292" s="2" t="s">
        <v>18</v>
      </c>
    </row>
    <row r="293" spans="1:12">
      <c r="A293" s="64">
        <v>293</v>
      </c>
      <c r="B293" s="61" t="s">
        <v>490</v>
      </c>
      <c r="C293" s="61" t="s">
        <v>491</v>
      </c>
      <c r="D293" s="58" t="s">
        <v>120</v>
      </c>
      <c r="E293" s="58" t="s">
        <v>13</v>
      </c>
      <c r="F293" s="58"/>
      <c r="G293" s="61"/>
      <c r="H293" s="61"/>
      <c r="I293" s="58"/>
      <c r="J293" s="61"/>
      <c r="K293" s="85"/>
      <c r="L293" s="2" t="s">
        <v>18</v>
      </c>
    </row>
    <row r="294" spans="1:12">
      <c r="A294" s="63">
        <v>294</v>
      </c>
      <c r="B294" s="59" t="s">
        <v>490</v>
      </c>
      <c r="C294" s="59" t="s">
        <v>491</v>
      </c>
      <c r="D294" s="60" t="s">
        <v>120</v>
      </c>
      <c r="E294" s="60" t="s">
        <v>13</v>
      </c>
      <c r="F294" s="60"/>
      <c r="G294" s="59"/>
      <c r="H294" s="59"/>
      <c r="I294" s="60"/>
      <c r="J294" s="59"/>
      <c r="K294" s="84"/>
      <c r="L294" s="2" t="s">
        <v>18</v>
      </c>
    </row>
    <row r="295" spans="1:12">
      <c r="A295" s="64">
        <v>295</v>
      </c>
      <c r="B295" s="61" t="s">
        <v>490</v>
      </c>
      <c r="C295" s="61" t="s">
        <v>491</v>
      </c>
      <c r="D295" s="58" t="s">
        <v>120</v>
      </c>
      <c r="E295" s="58" t="s">
        <v>13</v>
      </c>
      <c r="F295" s="58"/>
      <c r="G295" s="61"/>
      <c r="H295" s="61"/>
      <c r="I295" s="58"/>
      <c r="J295" s="61"/>
      <c r="K295" s="85"/>
      <c r="L295" s="2" t="s">
        <v>18</v>
      </c>
    </row>
    <row r="296" spans="1:12">
      <c r="A296" s="63">
        <v>296</v>
      </c>
      <c r="B296" s="59" t="s">
        <v>490</v>
      </c>
      <c r="C296" s="59" t="s">
        <v>491</v>
      </c>
      <c r="D296" s="60" t="s">
        <v>120</v>
      </c>
      <c r="E296" s="60" t="s">
        <v>13</v>
      </c>
      <c r="F296" s="60"/>
      <c r="G296" s="59"/>
      <c r="H296" s="59"/>
      <c r="I296" s="60"/>
      <c r="J296" s="59"/>
      <c r="K296" s="84"/>
      <c r="L296" s="2" t="s">
        <v>18</v>
      </c>
    </row>
    <row r="297" spans="1:12">
      <c r="A297" s="64">
        <v>297</v>
      </c>
      <c r="B297" s="61" t="s">
        <v>490</v>
      </c>
      <c r="C297" s="61" t="s">
        <v>491</v>
      </c>
      <c r="D297" s="58" t="s">
        <v>120</v>
      </c>
      <c r="E297" s="58" t="s">
        <v>13</v>
      </c>
      <c r="F297" s="58"/>
      <c r="G297" s="61"/>
      <c r="H297" s="61"/>
      <c r="I297" s="58"/>
      <c r="J297" s="61"/>
      <c r="K297" s="85"/>
      <c r="L297" s="2" t="s">
        <v>18</v>
      </c>
    </row>
    <row r="298" spans="1:12">
      <c r="A298" s="63">
        <v>298</v>
      </c>
      <c r="B298" s="59" t="s">
        <v>490</v>
      </c>
      <c r="C298" s="59" t="s">
        <v>491</v>
      </c>
      <c r="D298" s="60" t="s">
        <v>120</v>
      </c>
      <c r="E298" s="60" t="s">
        <v>13</v>
      </c>
      <c r="F298" s="60"/>
      <c r="G298" s="59"/>
      <c r="H298" s="59"/>
      <c r="I298" s="60"/>
      <c r="J298" s="59"/>
      <c r="K298" s="84"/>
      <c r="L298" s="2" t="s">
        <v>18</v>
      </c>
    </row>
    <row r="299" spans="1:12">
      <c r="A299" s="64">
        <v>299</v>
      </c>
      <c r="B299" s="61" t="s">
        <v>490</v>
      </c>
      <c r="C299" s="61" t="s">
        <v>491</v>
      </c>
      <c r="D299" s="58" t="s">
        <v>120</v>
      </c>
      <c r="E299" s="58" t="s">
        <v>13</v>
      </c>
      <c r="F299" s="58"/>
      <c r="G299" s="61"/>
      <c r="H299" s="61"/>
      <c r="I299" s="58"/>
      <c r="J299" s="61"/>
      <c r="K299" s="85"/>
      <c r="L299" s="2" t="s">
        <v>18</v>
      </c>
    </row>
    <row r="300" spans="1:12">
      <c r="A300" s="63">
        <v>300</v>
      </c>
      <c r="B300" s="59" t="s">
        <v>490</v>
      </c>
      <c r="C300" s="59" t="s">
        <v>491</v>
      </c>
      <c r="D300" s="60" t="s">
        <v>120</v>
      </c>
      <c r="E300" s="60" t="s">
        <v>13</v>
      </c>
      <c r="F300" s="60"/>
      <c r="G300" s="59"/>
      <c r="H300" s="59"/>
      <c r="I300" s="60"/>
      <c r="J300" s="59"/>
      <c r="K300" s="84"/>
      <c r="L300" s="2" t="s">
        <v>18</v>
      </c>
    </row>
    <row r="301" spans="1:12">
      <c r="A301" s="64">
        <v>301</v>
      </c>
      <c r="B301" s="61" t="s">
        <v>490</v>
      </c>
      <c r="C301" s="61" t="s">
        <v>491</v>
      </c>
      <c r="D301" s="58" t="s">
        <v>120</v>
      </c>
      <c r="E301" s="58" t="s">
        <v>13</v>
      </c>
      <c r="F301" s="58"/>
      <c r="G301" s="61"/>
      <c r="H301" s="61"/>
      <c r="I301" s="58"/>
      <c r="J301" s="61"/>
      <c r="K301" s="85"/>
      <c r="L301" s="2" t="s">
        <v>18</v>
      </c>
    </row>
    <row r="302" spans="1:12">
      <c r="A302" s="63">
        <v>302</v>
      </c>
      <c r="B302" s="59" t="s">
        <v>490</v>
      </c>
      <c r="C302" s="59" t="s">
        <v>491</v>
      </c>
      <c r="D302" s="60" t="s">
        <v>120</v>
      </c>
      <c r="E302" s="60" t="s">
        <v>13</v>
      </c>
      <c r="F302" s="60"/>
      <c r="G302" s="59"/>
      <c r="H302" s="59"/>
      <c r="I302" s="60"/>
      <c r="J302" s="59"/>
      <c r="K302" s="84"/>
      <c r="L302" s="2" t="s">
        <v>18</v>
      </c>
    </row>
    <row r="303" spans="1:12">
      <c r="A303" s="64">
        <v>303</v>
      </c>
      <c r="B303" s="61" t="s">
        <v>490</v>
      </c>
      <c r="C303" s="61" t="s">
        <v>491</v>
      </c>
      <c r="D303" s="58" t="s">
        <v>120</v>
      </c>
      <c r="E303" s="58" t="s">
        <v>13</v>
      </c>
      <c r="F303" s="58"/>
      <c r="G303" s="61"/>
      <c r="H303" s="61"/>
      <c r="I303" s="58"/>
      <c r="J303" s="61"/>
      <c r="K303" s="85"/>
      <c r="L303" s="2" t="s">
        <v>18</v>
      </c>
    </row>
    <row r="304" spans="1:12">
      <c r="A304" s="63">
        <v>304</v>
      </c>
      <c r="B304" s="59" t="s">
        <v>490</v>
      </c>
      <c r="C304" s="59" t="s">
        <v>491</v>
      </c>
      <c r="D304" s="60" t="s">
        <v>120</v>
      </c>
      <c r="E304" s="60" t="s">
        <v>32</v>
      </c>
      <c r="F304" s="60"/>
      <c r="G304" s="59"/>
      <c r="H304" s="59"/>
      <c r="I304" s="60"/>
      <c r="J304" s="59"/>
      <c r="K304" s="84"/>
      <c r="L304" s="2" t="s">
        <v>18</v>
      </c>
    </row>
    <row r="305" spans="1:12">
      <c r="A305" s="64">
        <v>305</v>
      </c>
      <c r="B305" s="61" t="s">
        <v>490</v>
      </c>
      <c r="C305" s="61" t="s">
        <v>491</v>
      </c>
      <c r="D305" s="58" t="s">
        <v>120</v>
      </c>
      <c r="E305" s="58" t="s">
        <v>32</v>
      </c>
      <c r="F305" s="58"/>
      <c r="G305" s="61"/>
      <c r="H305" s="61"/>
      <c r="I305" s="58"/>
      <c r="J305" s="61"/>
      <c r="K305" s="85"/>
      <c r="L305" s="2" t="s">
        <v>18</v>
      </c>
    </row>
    <row r="306" spans="1:12">
      <c r="A306" s="63">
        <v>306</v>
      </c>
      <c r="B306" s="59" t="s">
        <v>490</v>
      </c>
      <c r="C306" s="59" t="s">
        <v>491</v>
      </c>
      <c r="D306" s="60" t="s">
        <v>120</v>
      </c>
      <c r="E306" s="60" t="s">
        <v>32</v>
      </c>
      <c r="F306" s="60"/>
      <c r="G306" s="59"/>
      <c r="H306" s="59"/>
      <c r="I306" s="60"/>
      <c r="J306" s="59"/>
      <c r="K306" s="84"/>
      <c r="L306" s="2" t="s">
        <v>18</v>
      </c>
    </row>
    <row r="307" spans="1:12">
      <c r="A307" s="64">
        <v>307</v>
      </c>
      <c r="B307" s="61" t="s">
        <v>490</v>
      </c>
      <c r="C307" s="61" t="s">
        <v>491</v>
      </c>
      <c r="D307" s="58" t="s">
        <v>120</v>
      </c>
      <c r="E307" s="58" t="s">
        <v>32</v>
      </c>
      <c r="F307" s="58"/>
      <c r="G307" s="61"/>
      <c r="H307" s="61"/>
      <c r="I307" s="58"/>
      <c r="J307" s="61"/>
      <c r="K307" s="85"/>
      <c r="L307" s="2" t="s">
        <v>18</v>
      </c>
    </row>
    <row r="308" spans="1:12">
      <c r="A308" s="63">
        <v>308</v>
      </c>
      <c r="B308" s="59" t="s">
        <v>490</v>
      </c>
      <c r="C308" s="59" t="s">
        <v>491</v>
      </c>
      <c r="D308" s="60" t="s">
        <v>120</v>
      </c>
      <c r="E308" s="60" t="s">
        <v>32</v>
      </c>
      <c r="F308" s="60"/>
      <c r="G308" s="59"/>
      <c r="H308" s="59"/>
      <c r="I308" s="60"/>
      <c r="J308" s="59"/>
      <c r="K308" s="84"/>
      <c r="L308" s="2" t="s">
        <v>18</v>
      </c>
    </row>
    <row r="309" spans="1:12">
      <c r="A309" s="64">
        <v>309</v>
      </c>
      <c r="B309" s="61" t="s">
        <v>490</v>
      </c>
      <c r="C309" s="61" t="s">
        <v>491</v>
      </c>
      <c r="D309" s="58" t="s">
        <v>120</v>
      </c>
      <c r="E309" s="58" t="s">
        <v>32</v>
      </c>
      <c r="F309" s="58"/>
      <c r="G309" s="61"/>
      <c r="H309" s="61"/>
      <c r="I309" s="58"/>
      <c r="J309" s="61"/>
      <c r="K309" s="85"/>
      <c r="L309" s="2" t="s">
        <v>18</v>
      </c>
    </row>
    <row r="310" spans="1:12">
      <c r="A310" s="63">
        <v>310</v>
      </c>
      <c r="B310" s="59" t="s">
        <v>490</v>
      </c>
      <c r="C310" s="59" t="s">
        <v>491</v>
      </c>
      <c r="D310" s="60" t="s">
        <v>120</v>
      </c>
      <c r="E310" s="60" t="s">
        <v>492</v>
      </c>
      <c r="F310" s="60" t="s">
        <v>492</v>
      </c>
      <c r="G310" s="59"/>
      <c r="H310" s="59"/>
      <c r="I310" s="60"/>
      <c r="J310" s="59"/>
      <c r="K310" s="84"/>
      <c r="L310" s="2" t="s">
        <v>18</v>
      </c>
    </row>
    <row r="311" spans="1:12">
      <c r="A311" s="64">
        <v>311</v>
      </c>
      <c r="B311" s="61" t="s">
        <v>490</v>
      </c>
      <c r="C311" s="61" t="s">
        <v>491</v>
      </c>
      <c r="D311" s="58" t="s">
        <v>120</v>
      </c>
      <c r="E311" s="58" t="s">
        <v>492</v>
      </c>
      <c r="F311" s="58" t="s">
        <v>492</v>
      </c>
      <c r="G311" s="61"/>
      <c r="H311" s="61"/>
      <c r="I311" s="58"/>
      <c r="J311" s="61"/>
      <c r="K311" s="85"/>
      <c r="L311" s="2" t="s">
        <v>18</v>
      </c>
    </row>
    <row r="312" spans="1:12">
      <c r="A312" s="63">
        <v>312</v>
      </c>
      <c r="B312" s="59" t="s">
        <v>490</v>
      </c>
      <c r="C312" s="59" t="s">
        <v>491</v>
      </c>
      <c r="D312" s="60" t="s">
        <v>120</v>
      </c>
      <c r="E312" s="60" t="s">
        <v>492</v>
      </c>
      <c r="F312" s="60" t="s">
        <v>492</v>
      </c>
      <c r="G312" s="59"/>
      <c r="H312" s="59"/>
      <c r="I312" s="60"/>
      <c r="J312" s="59"/>
      <c r="K312" s="84"/>
      <c r="L312" s="2" t="s">
        <v>18</v>
      </c>
    </row>
    <row r="313" spans="1:12">
      <c r="A313" s="64">
        <v>313</v>
      </c>
      <c r="B313" s="61" t="s">
        <v>490</v>
      </c>
      <c r="C313" s="61" t="s">
        <v>491</v>
      </c>
      <c r="D313" s="58" t="s">
        <v>120</v>
      </c>
      <c r="E313" s="58" t="s">
        <v>492</v>
      </c>
      <c r="F313" s="58" t="s">
        <v>492</v>
      </c>
      <c r="G313" s="61"/>
      <c r="H313" s="61"/>
      <c r="I313" s="58"/>
      <c r="J313" s="61"/>
      <c r="K313" s="85"/>
      <c r="L313" s="2" t="s">
        <v>18</v>
      </c>
    </row>
    <row r="314" spans="1:12">
      <c r="A314" s="63">
        <v>314</v>
      </c>
      <c r="B314" s="59" t="s">
        <v>490</v>
      </c>
      <c r="C314" s="59" t="s">
        <v>491</v>
      </c>
      <c r="D314" s="60" t="s">
        <v>120</v>
      </c>
      <c r="E314" s="60" t="s">
        <v>492</v>
      </c>
      <c r="F314" s="60" t="s">
        <v>492</v>
      </c>
      <c r="G314" s="59"/>
      <c r="H314" s="59"/>
      <c r="I314" s="60"/>
      <c r="J314" s="59"/>
      <c r="K314" s="84"/>
      <c r="L314" s="2" t="s">
        <v>18</v>
      </c>
    </row>
    <row r="315" spans="1:12">
      <c r="A315" s="64">
        <v>315</v>
      </c>
      <c r="B315" s="61" t="s">
        <v>490</v>
      </c>
      <c r="C315" s="61" t="s">
        <v>491</v>
      </c>
      <c r="D315" s="58" t="s">
        <v>120</v>
      </c>
      <c r="E315" s="58" t="s">
        <v>492</v>
      </c>
      <c r="F315" s="58" t="s">
        <v>492</v>
      </c>
      <c r="G315" s="61"/>
      <c r="H315" s="61"/>
      <c r="I315" s="58"/>
      <c r="J315" s="61"/>
      <c r="K315" s="85"/>
      <c r="L315" s="2" t="s">
        <v>18</v>
      </c>
    </row>
    <row r="316" spans="1:12">
      <c r="A316" s="63">
        <v>316</v>
      </c>
      <c r="B316" s="59" t="s">
        <v>490</v>
      </c>
      <c r="C316" s="59" t="s">
        <v>491</v>
      </c>
      <c r="D316" s="60" t="s">
        <v>120</v>
      </c>
      <c r="E316" s="60" t="s">
        <v>492</v>
      </c>
      <c r="F316" s="60" t="s">
        <v>492</v>
      </c>
      <c r="G316" s="59"/>
      <c r="H316" s="59"/>
      <c r="I316" s="60"/>
      <c r="J316" s="59"/>
      <c r="K316" s="84"/>
      <c r="L316" s="2" t="s">
        <v>18</v>
      </c>
    </row>
    <row r="317" spans="1:12">
      <c r="A317" s="64">
        <v>317</v>
      </c>
      <c r="B317" s="61" t="s">
        <v>490</v>
      </c>
      <c r="C317" s="61" t="s">
        <v>491</v>
      </c>
      <c r="D317" s="58" t="s">
        <v>120</v>
      </c>
      <c r="E317" s="58" t="s">
        <v>492</v>
      </c>
      <c r="F317" s="58" t="s">
        <v>492</v>
      </c>
      <c r="G317" s="61"/>
      <c r="H317" s="61"/>
      <c r="I317" s="58"/>
      <c r="J317" s="61"/>
      <c r="K317" s="85"/>
      <c r="L317" s="2" t="s">
        <v>18</v>
      </c>
    </row>
    <row r="318" spans="1:12">
      <c r="A318" s="63">
        <v>318</v>
      </c>
      <c r="B318" s="59" t="s">
        <v>490</v>
      </c>
      <c r="C318" s="59" t="s">
        <v>491</v>
      </c>
      <c r="D318" s="60" t="s">
        <v>120</v>
      </c>
      <c r="E318" s="60" t="s">
        <v>492</v>
      </c>
      <c r="F318" s="60" t="s">
        <v>492</v>
      </c>
      <c r="G318" s="59"/>
      <c r="H318" s="59"/>
      <c r="I318" s="60"/>
      <c r="J318" s="59"/>
      <c r="K318" s="84"/>
      <c r="L318" s="2" t="s">
        <v>18</v>
      </c>
    </row>
    <row r="319" spans="1:12">
      <c r="A319" s="64">
        <v>319</v>
      </c>
      <c r="B319" s="61" t="s">
        <v>490</v>
      </c>
      <c r="C319" s="61" t="s">
        <v>491</v>
      </c>
      <c r="D319" s="58" t="s">
        <v>120</v>
      </c>
      <c r="E319" s="58" t="s">
        <v>492</v>
      </c>
      <c r="F319" s="58" t="s">
        <v>492</v>
      </c>
      <c r="G319" s="61"/>
      <c r="H319" s="61"/>
      <c r="I319" s="58"/>
      <c r="J319" s="61"/>
      <c r="K319" s="85"/>
      <c r="L319" s="2" t="s">
        <v>18</v>
      </c>
    </row>
    <row r="320" spans="1:12">
      <c r="A320" s="63">
        <v>320</v>
      </c>
      <c r="B320" s="59" t="s">
        <v>490</v>
      </c>
      <c r="C320" s="59" t="s">
        <v>491</v>
      </c>
      <c r="D320" s="60" t="s">
        <v>120</v>
      </c>
      <c r="E320" s="60" t="s">
        <v>36</v>
      </c>
      <c r="F320" s="60"/>
      <c r="G320" s="59"/>
      <c r="H320" s="59"/>
      <c r="I320" s="60"/>
      <c r="J320" s="59"/>
      <c r="K320" s="84"/>
      <c r="L320" s="2" t="s">
        <v>18</v>
      </c>
    </row>
    <row r="321" spans="1:12">
      <c r="A321" s="64">
        <v>321</v>
      </c>
      <c r="B321" s="61" t="s">
        <v>490</v>
      </c>
      <c r="C321" s="61" t="s">
        <v>491</v>
      </c>
      <c r="D321" s="58" t="s">
        <v>120</v>
      </c>
      <c r="E321" s="58" t="s">
        <v>172</v>
      </c>
      <c r="F321" s="58"/>
      <c r="G321" s="61"/>
      <c r="H321" s="61"/>
      <c r="I321" s="58"/>
      <c r="J321" s="61"/>
      <c r="K321" s="85"/>
      <c r="L321" s="2" t="s">
        <v>18</v>
      </c>
    </row>
    <row r="322" spans="1:12">
      <c r="A322" s="63">
        <v>322</v>
      </c>
      <c r="B322" s="59" t="s">
        <v>490</v>
      </c>
      <c r="C322" s="59" t="s">
        <v>491</v>
      </c>
      <c r="D322" s="60" t="s">
        <v>120</v>
      </c>
      <c r="E322" s="60" t="s">
        <v>172</v>
      </c>
      <c r="F322" s="60"/>
      <c r="G322" s="59"/>
      <c r="H322" s="59"/>
      <c r="I322" s="60"/>
      <c r="J322" s="59"/>
      <c r="K322" s="84"/>
      <c r="L322" s="2" t="s">
        <v>18</v>
      </c>
    </row>
    <row r="323" spans="1:12">
      <c r="A323" s="64">
        <v>323</v>
      </c>
      <c r="B323" s="61" t="s">
        <v>490</v>
      </c>
      <c r="C323" s="61" t="s">
        <v>491</v>
      </c>
      <c r="D323" s="58" t="s">
        <v>120</v>
      </c>
      <c r="E323" s="58" t="s">
        <v>131</v>
      </c>
      <c r="F323" s="58" t="s">
        <v>493</v>
      </c>
      <c r="G323" s="61"/>
      <c r="H323" s="61"/>
      <c r="I323" s="58"/>
      <c r="J323" s="61"/>
      <c r="K323" s="85"/>
      <c r="L323" s="2" t="s">
        <v>18</v>
      </c>
    </row>
    <row r="324" spans="1:12">
      <c r="A324" s="63">
        <v>324</v>
      </c>
      <c r="B324" s="59" t="s">
        <v>490</v>
      </c>
      <c r="C324" s="59" t="s">
        <v>491</v>
      </c>
      <c r="D324" s="60" t="s">
        <v>120</v>
      </c>
      <c r="E324" s="60" t="s">
        <v>131</v>
      </c>
      <c r="F324" s="60" t="s">
        <v>493</v>
      </c>
      <c r="G324" s="59"/>
      <c r="H324" s="59"/>
      <c r="I324" s="60"/>
      <c r="J324" s="59"/>
      <c r="K324" s="84"/>
      <c r="L324" s="2" t="s">
        <v>18</v>
      </c>
    </row>
    <row r="325" spans="1:12">
      <c r="A325" s="64">
        <v>325</v>
      </c>
      <c r="B325" s="61" t="s">
        <v>490</v>
      </c>
      <c r="C325" s="61" t="s">
        <v>491</v>
      </c>
      <c r="D325" s="58" t="s">
        <v>120</v>
      </c>
      <c r="E325" s="58" t="s">
        <v>131</v>
      </c>
      <c r="F325" s="58" t="s">
        <v>493</v>
      </c>
      <c r="G325" s="61"/>
      <c r="H325" s="61"/>
      <c r="I325" s="58"/>
      <c r="J325" s="61"/>
      <c r="K325" s="85"/>
      <c r="L325" s="2" t="s">
        <v>18</v>
      </c>
    </row>
    <row r="326" spans="1:12">
      <c r="A326" s="63">
        <v>326</v>
      </c>
      <c r="B326" s="59" t="s">
        <v>490</v>
      </c>
      <c r="C326" s="59" t="s">
        <v>491</v>
      </c>
      <c r="D326" s="60" t="s">
        <v>120</v>
      </c>
      <c r="E326" s="60" t="s">
        <v>131</v>
      </c>
      <c r="F326" s="60" t="s">
        <v>493</v>
      </c>
      <c r="G326" s="59"/>
      <c r="H326" s="59"/>
      <c r="I326" s="60"/>
      <c r="J326" s="59"/>
      <c r="K326" s="84"/>
      <c r="L326" s="2" t="s">
        <v>18</v>
      </c>
    </row>
    <row r="327" spans="1:12">
      <c r="A327" s="64">
        <v>327</v>
      </c>
      <c r="B327" s="61" t="s">
        <v>490</v>
      </c>
      <c r="C327" s="61" t="s">
        <v>491</v>
      </c>
      <c r="D327" s="58" t="s">
        <v>120</v>
      </c>
      <c r="E327" s="58" t="s">
        <v>44</v>
      </c>
      <c r="F327" s="58" t="s">
        <v>494</v>
      </c>
      <c r="G327" s="61"/>
      <c r="H327" s="61"/>
      <c r="I327" s="58"/>
      <c r="J327" s="61"/>
      <c r="K327" s="85"/>
      <c r="L327" s="2" t="s">
        <v>18</v>
      </c>
    </row>
    <row r="328" spans="1:12">
      <c r="A328" s="63">
        <v>328</v>
      </c>
      <c r="B328" s="59" t="s">
        <v>490</v>
      </c>
      <c r="C328" s="59" t="s">
        <v>491</v>
      </c>
      <c r="D328" s="60" t="s">
        <v>120</v>
      </c>
      <c r="E328" s="60" t="s">
        <v>44</v>
      </c>
      <c r="F328" s="60" t="s">
        <v>494</v>
      </c>
      <c r="G328" s="59"/>
      <c r="H328" s="59"/>
      <c r="I328" s="60"/>
      <c r="J328" s="59"/>
      <c r="K328" s="84"/>
      <c r="L328" s="2" t="s">
        <v>18</v>
      </c>
    </row>
    <row r="329" spans="1:12">
      <c r="A329" s="64">
        <v>329</v>
      </c>
      <c r="B329" s="61" t="s">
        <v>490</v>
      </c>
      <c r="C329" s="61" t="s">
        <v>491</v>
      </c>
      <c r="D329" s="58" t="s">
        <v>120</v>
      </c>
      <c r="E329" s="58" t="s">
        <v>44</v>
      </c>
      <c r="F329" s="58" t="s">
        <v>494</v>
      </c>
      <c r="G329" s="61"/>
      <c r="H329" s="61"/>
      <c r="I329" s="58"/>
      <c r="J329" s="61"/>
      <c r="K329" s="85"/>
      <c r="L329" s="2" t="s">
        <v>18</v>
      </c>
    </row>
    <row r="330" spans="1:12">
      <c r="A330" s="63">
        <v>330</v>
      </c>
      <c r="B330" s="59" t="s">
        <v>490</v>
      </c>
      <c r="C330" s="59" t="s">
        <v>491</v>
      </c>
      <c r="D330" s="60" t="s">
        <v>120</v>
      </c>
      <c r="E330" s="60" t="s">
        <v>44</v>
      </c>
      <c r="F330" s="60" t="s">
        <v>494</v>
      </c>
      <c r="G330" s="59"/>
      <c r="H330" s="59"/>
      <c r="I330" s="60"/>
      <c r="J330" s="59"/>
      <c r="K330" s="84"/>
      <c r="L330" s="2" t="s">
        <v>18</v>
      </c>
    </row>
    <row r="331" spans="1:12">
      <c r="A331" s="64">
        <v>331</v>
      </c>
      <c r="B331" s="61" t="s">
        <v>490</v>
      </c>
      <c r="C331" s="61" t="s">
        <v>491</v>
      </c>
      <c r="D331" s="58" t="s">
        <v>120</v>
      </c>
      <c r="E331" s="58" t="s">
        <v>44</v>
      </c>
      <c r="F331" s="58" t="s">
        <v>494</v>
      </c>
      <c r="G331" s="61"/>
      <c r="H331" s="61"/>
      <c r="I331" s="58"/>
      <c r="J331" s="61"/>
      <c r="K331" s="85"/>
      <c r="L331" s="2" t="s">
        <v>18</v>
      </c>
    </row>
    <row r="332" spans="1:12">
      <c r="A332" s="63">
        <v>332</v>
      </c>
      <c r="B332" s="59" t="s">
        <v>490</v>
      </c>
      <c r="C332" s="59" t="s">
        <v>491</v>
      </c>
      <c r="D332" s="60" t="s">
        <v>120</v>
      </c>
      <c r="E332" s="60" t="s">
        <v>44</v>
      </c>
      <c r="F332" s="60" t="s">
        <v>494</v>
      </c>
      <c r="G332" s="59"/>
      <c r="H332" s="59"/>
      <c r="I332" s="60"/>
      <c r="J332" s="59"/>
      <c r="K332" s="84"/>
      <c r="L332" s="2" t="s">
        <v>18</v>
      </c>
    </row>
    <row r="333" spans="1:12">
      <c r="A333" s="64">
        <v>333</v>
      </c>
      <c r="B333" s="61" t="s">
        <v>490</v>
      </c>
      <c r="C333" s="61" t="s">
        <v>491</v>
      </c>
      <c r="D333" s="58" t="s">
        <v>120</v>
      </c>
      <c r="E333" s="58" t="s">
        <v>44</v>
      </c>
      <c r="F333" s="58" t="s">
        <v>494</v>
      </c>
      <c r="G333" s="61"/>
      <c r="H333" s="61"/>
      <c r="I333" s="58"/>
      <c r="J333" s="61"/>
      <c r="K333" s="85"/>
      <c r="L333" s="2" t="s">
        <v>18</v>
      </c>
    </row>
    <row r="334" spans="1:12">
      <c r="A334" s="63">
        <v>334</v>
      </c>
      <c r="B334" s="59" t="s">
        <v>490</v>
      </c>
      <c r="C334" s="59" t="s">
        <v>491</v>
      </c>
      <c r="D334" s="60" t="s">
        <v>120</v>
      </c>
      <c r="E334" s="60" t="s">
        <v>44</v>
      </c>
      <c r="F334" s="60" t="s">
        <v>494</v>
      </c>
      <c r="G334" s="59"/>
      <c r="H334" s="59"/>
      <c r="I334" s="60"/>
      <c r="J334" s="59"/>
      <c r="K334" s="84"/>
      <c r="L334" s="2" t="s">
        <v>18</v>
      </c>
    </row>
    <row r="335" spans="1:12">
      <c r="A335" s="64">
        <v>335</v>
      </c>
      <c r="B335" s="61" t="s">
        <v>490</v>
      </c>
      <c r="C335" s="61" t="s">
        <v>491</v>
      </c>
      <c r="D335" s="58" t="s">
        <v>120</v>
      </c>
      <c r="E335" s="58" t="s">
        <v>44</v>
      </c>
      <c r="F335" s="58" t="s">
        <v>494</v>
      </c>
      <c r="G335" s="61"/>
      <c r="H335" s="61"/>
      <c r="I335" s="58"/>
      <c r="J335" s="61"/>
      <c r="K335" s="85"/>
      <c r="L335" s="2" t="s">
        <v>18</v>
      </c>
    </row>
    <row r="336" spans="1:12">
      <c r="A336" s="63">
        <v>336</v>
      </c>
      <c r="B336" s="59" t="s">
        <v>490</v>
      </c>
      <c r="C336" s="59" t="s">
        <v>491</v>
      </c>
      <c r="D336" s="60" t="s">
        <v>120</v>
      </c>
      <c r="E336" s="60" t="s">
        <v>44</v>
      </c>
      <c r="F336" s="60" t="s">
        <v>494</v>
      </c>
      <c r="G336" s="59"/>
      <c r="H336" s="59"/>
      <c r="I336" s="60"/>
      <c r="J336" s="59"/>
      <c r="K336" s="84"/>
      <c r="L336" s="2" t="s">
        <v>18</v>
      </c>
    </row>
    <row r="337" spans="1:12">
      <c r="A337" s="64">
        <v>337</v>
      </c>
      <c r="B337" s="61" t="s">
        <v>490</v>
      </c>
      <c r="C337" s="61" t="s">
        <v>491</v>
      </c>
      <c r="D337" s="58" t="s">
        <v>120</v>
      </c>
      <c r="E337" s="58" t="s">
        <v>44</v>
      </c>
      <c r="F337" s="58" t="s">
        <v>494</v>
      </c>
      <c r="G337" s="61"/>
      <c r="H337" s="61"/>
      <c r="I337" s="58"/>
      <c r="J337" s="61"/>
      <c r="K337" s="85"/>
      <c r="L337" s="2" t="s">
        <v>18</v>
      </c>
    </row>
    <row r="338" spans="1:12">
      <c r="A338" s="63">
        <v>338</v>
      </c>
      <c r="B338" s="59" t="s">
        <v>490</v>
      </c>
      <c r="C338" s="59" t="s">
        <v>491</v>
      </c>
      <c r="D338" s="60" t="s">
        <v>120</v>
      </c>
      <c r="E338" s="60" t="s">
        <v>44</v>
      </c>
      <c r="F338" s="60" t="s">
        <v>494</v>
      </c>
      <c r="G338" s="59"/>
      <c r="H338" s="59"/>
      <c r="I338" s="60"/>
      <c r="J338" s="59"/>
      <c r="K338" s="84"/>
      <c r="L338" s="2" t="s">
        <v>18</v>
      </c>
    </row>
    <row r="339" spans="1:12">
      <c r="A339" s="64">
        <v>339</v>
      </c>
      <c r="B339" s="61" t="s">
        <v>490</v>
      </c>
      <c r="C339" s="61" t="s">
        <v>491</v>
      </c>
      <c r="D339" s="58" t="s">
        <v>120</v>
      </c>
      <c r="E339" s="58" t="s">
        <v>60</v>
      </c>
      <c r="F339" s="58" t="s">
        <v>494</v>
      </c>
      <c r="G339" s="61"/>
      <c r="H339" s="61"/>
      <c r="I339" s="58"/>
      <c r="J339" s="61"/>
      <c r="K339" s="85"/>
      <c r="L339" s="2" t="s">
        <v>18</v>
      </c>
    </row>
    <row r="340" spans="1:12">
      <c r="A340" s="63">
        <v>340</v>
      </c>
      <c r="B340" s="59" t="s">
        <v>490</v>
      </c>
      <c r="C340" s="59" t="s">
        <v>491</v>
      </c>
      <c r="D340" s="60" t="s">
        <v>120</v>
      </c>
      <c r="E340" s="60" t="s">
        <v>495</v>
      </c>
      <c r="F340" s="60" t="s">
        <v>494</v>
      </c>
      <c r="G340" s="59"/>
      <c r="H340" s="59"/>
      <c r="I340" s="60"/>
      <c r="J340" s="59"/>
      <c r="K340" s="84"/>
      <c r="L340" s="2" t="s">
        <v>18</v>
      </c>
    </row>
    <row r="341" spans="1:12">
      <c r="A341" s="64">
        <v>341</v>
      </c>
      <c r="B341" s="61" t="s">
        <v>490</v>
      </c>
      <c r="C341" s="61" t="s">
        <v>491</v>
      </c>
      <c r="D341" s="58" t="s">
        <v>120</v>
      </c>
      <c r="E341" s="58" t="s">
        <v>495</v>
      </c>
      <c r="F341" s="58" t="s">
        <v>494</v>
      </c>
      <c r="G341" s="61"/>
      <c r="H341" s="61"/>
      <c r="I341" s="58"/>
      <c r="J341" s="61"/>
      <c r="K341" s="85"/>
      <c r="L341" s="2" t="s">
        <v>18</v>
      </c>
    </row>
    <row r="342" spans="1:12">
      <c r="A342" s="63">
        <v>342</v>
      </c>
      <c r="B342" s="59" t="s">
        <v>490</v>
      </c>
      <c r="C342" s="59" t="s">
        <v>491</v>
      </c>
      <c r="D342" s="60" t="s">
        <v>120</v>
      </c>
      <c r="E342" s="60" t="s">
        <v>21</v>
      </c>
      <c r="F342" s="60" t="s">
        <v>494</v>
      </c>
      <c r="G342" s="59"/>
      <c r="H342" s="59"/>
      <c r="I342" s="60"/>
      <c r="J342" s="59"/>
      <c r="K342" s="84"/>
      <c r="L342" s="2" t="s">
        <v>18</v>
      </c>
    </row>
    <row r="343" spans="1:12">
      <c r="A343" s="64">
        <v>343</v>
      </c>
      <c r="B343" s="61" t="s">
        <v>490</v>
      </c>
      <c r="C343" s="61" t="s">
        <v>491</v>
      </c>
      <c r="D343" s="58" t="s">
        <v>120</v>
      </c>
      <c r="E343" s="58" t="s">
        <v>86</v>
      </c>
      <c r="F343" s="58" t="s">
        <v>494</v>
      </c>
      <c r="G343" s="61"/>
      <c r="H343" s="61"/>
      <c r="I343" s="58"/>
      <c r="J343" s="61"/>
      <c r="K343" s="85"/>
      <c r="L343" s="2" t="s">
        <v>18</v>
      </c>
    </row>
    <row r="344" spans="1:12">
      <c r="A344" s="63">
        <v>344</v>
      </c>
      <c r="B344" s="59" t="s">
        <v>490</v>
      </c>
      <c r="C344" s="59" t="s">
        <v>491</v>
      </c>
      <c r="D344" s="60" t="s">
        <v>120</v>
      </c>
      <c r="E344" s="60" t="s">
        <v>60</v>
      </c>
      <c r="F344" s="60" t="s">
        <v>494</v>
      </c>
      <c r="G344" s="59"/>
      <c r="H344" s="59"/>
      <c r="I344" s="60"/>
      <c r="J344" s="59"/>
      <c r="K344" s="84"/>
      <c r="L344" s="2" t="s">
        <v>18</v>
      </c>
    </row>
    <row r="345" spans="1:12">
      <c r="A345" s="64">
        <v>345</v>
      </c>
      <c r="B345" s="61" t="s">
        <v>490</v>
      </c>
      <c r="C345" s="61" t="s">
        <v>491</v>
      </c>
      <c r="D345" s="58" t="s">
        <v>120</v>
      </c>
      <c r="E345" s="58" t="s">
        <v>44</v>
      </c>
      <c r="F345" s="58" t="s">
        <v>494</v>
      </c>
      <c r="G345" s="61"/>
      <c r="H345" s="61"/>
      <c r="I345" s="58"/>
      <c r="J345" s="61"/>
      <c r="K345" s="85"/>
      <c r="L345" s="2" t="s">
        <v>18</v>
      </c>
    </row>
    <row r="346" spans="1:12">
      <c r="A346" s="63">
        <v>346</v>
      </c>
      <c r="B346" s="59" t="s">
        <v>490</v>
      </c>
      <c r="C346" s="59" t="s">
        <v>496</v>
      </c>
      <c r="D346" s="60" t="s">
        <v>120</v>
      </c>
      <c r="E346" s="60" t="s">
        <v>13</v>
      </c>
      <c r="F346" s="60" t="s">
        <v>494</v>
      </c>
      <c r="G346" s="59"/>
      <c r="H346" s="59"/>
      <c r="I346" s="60"/>
      <c r="J346" s="59"/>
      <c r="K346" s="84"/>
      <c r="L346" s="2" t="s">
        <v>18</v>
      </c>
    </row>
    <row r="347" spans="1:12">
      <c r="A347" s="64">
        <v>347</v>
      </c>
      <c r="B347" s="61" t="s">
        <v>490</v>
      </c>
      <c r="C347" s="61" t="s">
        <v>496</v>
      </c>
      <c r="D347" s="58" t="s">
        <v>120</v>
      </c>
      <c r="E347" s="58" t="s">
        <v>13</v>
      </c>
      <c r="F347" s="58" t="s">
        <v>494</v>
      </c>
      <c r="G347" s="61"/>
      <c r="H347" s="61"/>
      <c r="I347" s="58"/>
      <c r="J347" s="61"/>
      <c r="K347" s="85"/>
      <c r="L347" s="2" t="s">
        <v>18</v>
      </c>
    </row>
    <row r="348" spans="1:12">
      <c r="A348" s="63">
        <v>348</v>
      </c>
      <c r="B348" s="59" t="s">
        <v>490</v>
      </c>
      <c r="C348" s="59" t="s">
        <v>496</v>
      </c>
      <c r="D348" s="60" t="s">
        <v>120</v>
      </c>
      <c r="E348" s="60" t="s">
        <v>13</v>
      </c>
      <c r="F348" s="60" t="s">
        <v>494</v>
      </c>
      <c r="G348" s="59"/>
      <c r="H348" s="59"/>
      <c r="I348" s="60"/>
      <c r="J348" s="59"/>
      <c r="K348" s="84"/>
      <c r="L348" s="2" t="s">
        <v>18</v>
      </c>
    </row>
    <row r="349" spans="1:12">
      <c r="A349" s="64">
        <v>349</v>
      </c>
      <c r="B349" s="61" t="s">
        <v>490</v>
      </c>
      <c r="C349" s="61" t="s">
        <v>496</v>
      </c>
      <c r="D349" s="58" t="s">
        <v>120</v>
      </c>
      <c r="E349" s="58" t="s">
        <v>13</v>
      </c>
      <c r="F349" s="58" t="s">
        <v>494</v>
      </c>
      <c r="G349" s="61"/>
      <c r="H349" s="61"/>
      <c r="I349" s="58"/>
      <c r="J349" s="61"/>
      <c r="K349" s="85"/>
      <c r="L349" s="2" t="s">
        <v>18</v>
      </c>
    </row>
    <row r="350" spans="1:12">
      <c r="A350" s="63">
        <v>350</v>
      </c>
      <c r="B350" s="59" t="s">
        <v>490</v>
      </c>
      <c r="C350" s="59" t="s">
        <v>496</v>
      </c>
      <c r="D350" s="60" t="s">
        <v>120</v>
      </c>
      <c r="E350" s="60" t="s">
        <v>13</v>
      </c>
      <c r="F350" s="60" t="s">
        <v>494</v>
      </c>
      <c r="G350" s="59"/>
      <c r="H350" s="59"/>
      <c r="I350" s="60"/>
      <c r="J350" s="59"/>
      <c r="K350" s="84"/>
      <c r="L350" s="2" t="s">
        <v>18</v>
      </c>
    </row>
    <row r="351" spans="1:12">
      <c r="A351" s="64">
        <v>351</v>
      </c>
      <c r="B351" s="61" t="s">
        <v>490</v>
      </c>
      <c r="C351" s="61" t="s">
        <v>496</v>
      </c>
      <c r="D351" s="58" t="s">
        <v>120</v>
      </c>
      <c r="E351" s="58" t="s">
        <v>13</v>
      </c>
      <c r="F351" s="58" t="s">
        <v>494</v>
      </c>
      <c r="G351" s="61"/>
      <c r="H351" s="61"/>
      <c r="I351" s="58"/>
      <c r="J351" s="61"/>
      <c r="K351" s="85"/>
      <c r="L351" s="2" t="s">
        <v>18</v>
      </c>
    </row>
    <row r="352" spans="1:12">
      <c r="A352" s="63">
        <v>352</v>
      </c>
      <c r="B352" s="59" t="s">
        <v>490</v>
      </c>
      <c r="C352" s="59" t="s">
        <v>496</v>
      </c>
      <c r="D352" s="60" t="s">
        <v>120</v>
      </c>
      <c r="E352" s="60" t="s">
        <v>13</v>
      </c>
      <c r="F352" s="60" t="s">
        <v>494</v>
      </c>
      <c r="G352" s="59"/>
      <c r="H352" s="59"/>
      <c r="I352" s="60"/>
      <c r="J352" s="59"/>
      <c r="K352" s="84"/>
      <c r="L352" s="2" t="s">
        <v>18</v>
      </c>
    </row>
    <row r="353" spans="1:12">
      <c r="A353" s="64">
        <v>353</v>
      </c>
      <c r="B353" s="61" t="s">
        <v>490</v>
      </c>
      <c r="C353" s="61" t="s">
        <v>496</v>
      </c>
      <c r="D353" s="58" t="s">
        <v>120</v>
      </c>
      <c r="E353" s="58" t="s">
        <v>13</v>
      </c>
      <c r="F353" s="58" t="s">
        <v>494</v>
      </c>
      <c r="G353" s="61"/>
      <c r="H353" s="61"/>
      <c r="I353" s="58"/>
      <c r="J353" s="61"/>
      <c r="K353" s="85"/>
      <c r="L353" s="2" t="s">
        <v>18</v>
      </c>
    </row>
    <row r="354" spans="1:12">
      <c r="A354" s="63">
        <v>354</v>
      </c>
      <c r="B354" s="59" t="s">
        <v>490</v>
      </c>
      <c r="C354" s="59" t="s">
        <v>496</v>
      </c>
      <c r="D354" s="60" t="s">
        <v>120</v>
      </c>
      <c r="E354" s="60" t="s">
        <v>13</v>
      </c>
      <c r="F354" s="60" t="s">
        <v>494</v>
      </c>
      <c r="G354" s="59"/>
      <c r="H354" s="59"/>
      <c r="I354" s="60"/>
      <c r="J354" s="59"/>
      <c r="K354" s="84"/>
      <c r="L354" s="2" t="s">
        <v>18</v>
      </c>
    </row>
    <row r="355" spans="1:12">
      <c r="A355" s="64">
        <v>355</v>
      </c>
      <c r="B355" s="61" t="s">
        <v>490</v>
      </c>
      <c r="C355" s="61" t="s">
        <v>496</v>
      </c>
      <c r="D355" s="58" t="s">
        <v>120</v>
      </c>
      <c r="E355" s="58" t="s">
        <v>13</v>
      </c>
      <c r="F355" s="58" t="s">
        <v>494</v>
      </c>
      <c r="G355" s="61"/>
      <c r="H355" s="61"/>
      <c r="I355" s="58"/>
      <c r="J355" s="61"/>
      <c r="K355" s="85"/>
      <c r="L355" s="2" t="s">
        <v>18</v>
      </c>
    </row>
    <row r="356" spans="1:12">
      <c r="A356" s="63">
        <v>356</v>
      </c>
      <c r="B356" s="59" t="s">
        <v>490</v>
      </c>
      <c r="C356" s="59" t="s">
        <v>496</v>
      </c>
      <c r="D356" s="60" t="s">
        <v>120</v>
      </c>
      <c r="E356" s="60" t="s">
        <v>13</v>
      </c>
      <c r="F356" s="60" t="s">
        <v>494</v>
      </c>
      <c r="G356" s="59"/>
      <c r="H356" s="59"/>
      <c r="I356" s="60"/>
      <c r="J356" s="59"/>
      <c r="K356" s="84"/>
      <c r="L356" s="2" t="s">
        <v>18</v>
      </c>
    </row>
    <row r="357" spans="1:12">
      <c r="A357" s="64">
        <v>357</v>
      </c>
      <c r="B357" s="61" t="s">
        <v>490</v>
      </c>
      <c r="C357" s="61" t="s">
        <v>496</v>
      </c>
      <c r="D357" s="58" t="s">
        <v>120</v>
      </c>
      <c r="E357" s="58" t="s">
        <v>13</v>
      </c>
      <c r="F357" s="58" t="s">
        <v>494</v>
      </c>
      <c r="G357" s="61"/>
      <c r="H357" s="61"/>
      <c r="I357" s="58"/>
      <c r="J357" s="61"/>
      <c r="K357" s="85"/>
      <c r="L357" s="2" t="s">
        <v>18</v>
      </c>
    </row>
    <row r="358" spans="1:12">
      <c r="A358" s="63">
        <v>358</v>
      </c>
      <c r="B358" s="59" t="s">
        <v>490</v>
      </c>
      <c r="C358" s="59" t="s">
        <v>496</v>
      </c>
      <c r="D358" s="60" t="s">
        <v>120</v>
      </c>
      <c r="E358" s="60" t="s">
        <v>13</v>
      </c>
      <c r="F358" s="60" t="s">
        <v>494</v>
      </c>
      <c r="G358" s="59"/>
      <c r="H358" s="59"/>
      <c r="I358" s="60"/>
      <c r="J358" s="59"/>
      <c r="K358" s="84"/>
      <c r="L358" s="2" t="s">
        <v>18</v>
      </c>
    </row>
    <row r="359" spans="1:12">
      <c r="A359" s="64">
        <v>359</v>
      </c>
      <c r="B359" s="61" t="s">
        <v>490</v>
      </c>
      <c r="C359" s="61" t="s">
        <v>496</v>
      </c>
      <c r="D359" s="58" t="s">
        <v>120</v>
      </c>
      <c r="E359" s="58" t="s">
        <v>13</v>
      </c>
      <c r="F359" s="58" t="s">
        <v>494</v>
      </c>
      <c r="G359" s="61"/>
      <c r="H359" s="61"/>
      <c r="I359" s="58"/>
      <c r="J359" s="61"/>
      <c r="K359" s="85"/>
      <c r="L359" s="2" t="s">
        <v>18</v>
      </c>
    </row>
    <row r="360" spans="1:12">
      <c r="A360" s="63">
        <v>360</v>
      </c>
      <c r="B360" s="59" t="s">
        <v>490</v>
      </c>
      <c r="C360" s="59" t="s">
        <v>496</v>
      </c>
      <c r="D360" s="60" t="s">
        <v>120</v>
      </c>
      <c r="E360" s="60" t="s">
        <v>13</v>
      </c>
      <c r="F360" s="60" t="s">
        <v>494</v>
      </c>
      <c r="G360" s="59"/>
      <c r="H360" s="59"/>
      <c r="I360" s="60"/>
      <c r="J360" s="59"/>
      <c r="K360" s="84"/>
      <c r="L360" s="2" t="s">
        <v>18</v>
      </c>
    </row>
    <row r="361" spans="1:12">
      <c r="A361" s="64">
        <v>361</v>
      </c>
      <c r="B361" s="61" t="s">
        <v>490</v>
      </c>
      <c r="C361" s="61" t="s">
        <v>496</v>
      </c>
      <c r="D361" s="58" t="s">
        <v>120</v>
      </c>
      <c r="E361" s="58" t="s">
        <v>13</v>
      </c>
      <c r="F361" s="58" t="s">
        <v>494</v>
      </c>
      <c r="G361" s="61"/>
      <c r="H361" s="61"/>
      <c r="I361" s="58"/>
      <c r="J361" s="61"/>
      <c r="K361" s="85"/>
      <c r="L361" s="2" t="s">
        <v>18</v>
      </c>
    </row>
    <row r="362" spans="1:12">
      <c r="A362" s="63">
        <v>362</v>
      </c>
      <c r="B362" s="59" t="s">
        <v>490</v>
      </c>
      <c r="C362" s="59" t="s">
        <v>496</v>
      </c>
      <c r="D362" s="60" t="s">
        <v>120</v>
      </c>
      <c r="E362" s="60" t="s">
        <v>13</v>
      </c>
      <c r="F362" s="60" t="s">
        <v>494</v>
      </c>
      <c r="G362" s="59"/>
      <c r="H362" s="59"/>
      <c r="I362" s="60"/>
      <c r="J362" s="59"/>
      <c r="K362" s="84"/>
      <c r="L362" s="2" t="s">
        <v>18</v>
      </c>
    </row>
    <row r="363" spans="1:12">
      <c r="A363" s="64">
        <v>363</v>
      </c>
      <c r="B363" s="61" t="s">
        <v>490</v>
      </c>
      <c r="C363" s="61" t="s">
        <v>496</v>
      </c>
      <c r="D363" s="58" t="s">
        <v>120</v>
      </c>
      <c r="E363" s="58" t="s">
        <v>13</v>
      </c>
      <c r="F363" s="58" t="s">
        <v>494</v>
      </c>
      <c r="G363" s="61"/>
      <c r="H363" s="61"/>
      <c r="I363" s="58"/>
      <c r="J363" s="61"/>
      <c r="K363" s="85"/>
      <c r="L363" s="2" t="s">
        <v>18</v>
      </c>
    </row>
    <row r="364" spans="1:12">
      <c r="A364" s="63">
        <v>364</v>
      </c>
      <c r="B364" s="59" t="s">
        <v>490</v>
      </c>
      <c r="C364" s="59" t="s">
        <v>496</v>
      </c>
      <c r="D364" s="60" t="s">
        <v>120</v>
      </c>
      <c r="E364" s="60" t="s">
        <v>13</v>
      </c>
      <c r="F364" s="60" t="s">
        <v>494</v>
      </c>
      <c r="G364" s="59"/>
      <c r="H364" s="59"/>
      <c r="I364" s="60"/>
      <c r="J364" s="59"/>
      <c r="K364" s="84"/>
      <c r="L364" s="2" t="s">
        <v>18</v>
      </c>
    </row>
    <row r="365" spans="1:12">
      <c r="A365" s="64">
        <v>365</v>
      </c>
      <c r="B365" s="61" t="s">
        <v>490</v>
      </c>
      <c r="C365" s="61" t="s">
        <v>496</v>
      </c>
      <c r="D365" s="58" t="s">
        <v>120</v>
      </c>
      <c r="E365" s="58" t="s">
        <v>13</v>
      </c>
      <c r="F365" s="58" t="s">
        <v>494</v>
      </c>
      <c r="G365" s="61"/>
      <c r="H365" s="61"/>
      <c r="I365" s="58"/>
      <c r="J365" s="61"/>
      <c r="K365" s="85"/>
      <c r="L365" s="2" t="s">
        <v>18</v>
      </c>
    </row>
    <row r="366" spans="1:12">
      <c r="A366" s="63">
        <v>366</v>
      </c>
      <c r="B366" s="59" t="s">
        <v>490</v>
      </c>
      <c r="C366" s="59" t="s">
        <v>496</v>
      </c>
      <c r="D366" s="60" t="s">
        <v>120</v>
      </c>
      <c r="E366" s="60" t="s">
        <v>13</v>
      </c>
      <c r="F366" s="60" t="s">
        <v>494</v>
      </c>
      <c r="G366" s="59"/>
      <c r="H366" s="59"/>
      <c r="I366" s="60"/>
      <c r="J366" s="59"/>
      <c r="K366" s="84"/>
      <c r="L366" s="2" t="s">
        <v>18</v>
      </c>
    </row>
    <row r="367" spans="1:12">
      <c r="A367" s="64">
        <v>367</v>
      </c>
      <c r="B367" s="61" t="s">
        <v>490</v>
      </c>
      <c r="C367" s="61" t="s">
        <v>496</v>
      </c>
      <c r="D367" s="58" t="s">
        <v>120</v>
      </c>
      <c r="E367" s="58" t="s">
        <v>13</v>
      </c>
      <c r="F367" s="58" t="s">
        <v>494</v>
      </c>
      <c r="G367" s="61"/>
      <c r="H367" s="61"/>
      <c r="I367" s="58"/>
      <c r="J367" s="61"/>
      <c r="K367" s="85"/>
      <c r="L367" s="2" t="s">
        <v>18</v>
      </c>
    </row>
    <row r="368" spans="1:12">
      <c r="A368" s="63">
        <v>368</v>
      </c>
      <c r="B368" s="59" t="s">
        <v>490</v>
      </c>
      <c r="C368" s="59" t="s">
        <v>496</v>
      </c>
      <c r="D368" s="60" t="s">
        <v>120</v>
      </c>
      <c r="E368" s="60" t="s">
        <v>13</v>
      </c>
      <c r="F368" s="60" t="s">
        <v>494</v>
      </c>
      <c r="G368" s="59"/>
      <c r="H368" s="59"/>
      <c r="I368" s="60"/>
      <c r="J368" s="59"/>
      <c r="K368" s="84"/>
      <c r="L368" s="2" t="s">
        <v>18</v>
      </c>
    </row>
    <row r="369" spans="1:12">
      <c r="A369" s="64">
        <v>369</v>
      </c>
      <c r="B369" s="61" t="s">
        <v>490</v>
      </c>
      <c r="C369" s="61" t="s">
        <v>496</v>
      </c>
      <c r="D369" s="58" t="s">
        <v>120</v>
      </c>
      <c r="E369" s="58" t="s">
        <v>13</v>
      </c>
      <c r="F369" s="58" t="s">
        <v>494</v>
      </c>
      <c r="G369" s="61"/>
      <c r="H369" s="61"/>
      <c r="I369" s="58"/>
      <c r="J369" s="61"/>
      <c r="K369" s="85"/>
      <c r="L369" s="2" t="s">
        <v>18</v>
      </c>
    </row>
    <row r="370" spans="1:12">
      <c r="A370" s="63">
        <v>370</v>
      </c>
      <c r="B370" s="59" t="s">
        <v>490</v>
      </c>
      <c r="C370" s="59" t="s">
        <v>496</v>
      </c>
      <c r="D370" s="60" t="s">
        <v>120</v>
      </c>
      <c r="E370" s="60" t="s">
        <v>13</v>
      </c>
      <c r="F370" s="60" t="s">
        <v>494</v>
      </c>
      <c r="G370" s="59"/>
      <c r="H370" s="59"/>
      <c r="I370" s="60"/>
      <c r="J370" s="59"/>
      <c r="K370" s="84"/>
      <c r="L370" s="2" t="s">
        <v>18</v>
      </c>
    </row>
    <row r="371" spans="1:12">
      <c r="A371" s="64">
        <v>371</v>
      </c>
      <c r="B371" s="61" t="s">
        <v>490</v>
      </c>
      <c r="C371" s="61" t="s">
        <v>496</v>
      </c>
      <c r="D371" s="58" t="s">
        <v>120</v>
      </c>
      <c r="E371" s="58" t="s">
        <v>13</v>
      </c>
      <c r="F371" s="58" t="s">
        <v>494</v>
      </c>
      <c r="G371" s="61"/>
      <c r="H371" s="61"/>
      <c r="I371" s="58"/>
      <c r="J371" s="61"/>
      <c r="K371" s="85"/>
      <c r="L371" s="2" t="s">
        <v>18</v>
      </c>
    </row>
    <row r="372" spans="1:12">
      <c r="A372" s="63">
        <v>372</v>
      </c>
      <c r="B372" s="59" t="s">
        <v>490</v>
      </c>
      <c r="C372" s="59" t="s">
        <v>496</v>
      </c>
      <c r="D372" s="60" t="s">
        <v>120</v>
      </c>
      <c r="E372" s="60" t="s">
        <v>13</v>
      </c>
      <c r="F372" s="60" t="s">
        <v>494</v>
      </c>
      <c r="G372" s="59"/>
      <c r="H372" s="59"/>
      <c r="I372" s="60"/>
      <c r="J372" s="59"/>
      <c r="K372" s="84"/>
      <c r="L372" s="2" t="s">
        <v>18</v>
      </c>
    </row>
    <row r="373" spans="1:12">
      <c r="A373" s="64">
        <v>373</v>
      </c>
      <c r="B373" s="61" t="s">
        <v>490</v>
      </c>
      <c r="C373" s="61" t="s">
        <v>496</v>
      </c>
      <c r="D373" s="58" t="s">
        <v>120</v>
      </c>
      <c r="E373" s="58" t="s">
        <v>13</v>
      </c>
      <c r="F373" s="58" t="s">
        <v>494</v>
      </c>
      <c r="G373" s="61"/>
      <c r="H373" s="61"/>
      <c r="I373" s="58"/>
      <c r="J373" s="61"/>
      <c r="K373" s="85"/>
      <c r="L373" s="2" t="s">
        <v>18</v>
      </c>
    </row>
    <row r="374" spans="1:12">
      <c r="A374" s="63">
        <v>374</v>
      </c>
      <c r="B374" s="59" t="s">
        <v>490</v>
      </c>
      <c r="C374" s="59" t="s">
        <v>496</v>
      </c>
      <c r="D374" s="60" t="s">
        <v>120</v>
      </c>
      <c r="E374" s="60" t="s">
        <v>13</v>
      </c>
      <c r="F374" s="60" t="s">
        <v>494</v>
      </c>
      <c r="G374" s="59"/>
      <c r="H374" s="59"/>
      <c r="I374" s="60"/>
      <c r="J374" s="59"/>
      <c r="K374" s="84"/>
      <c r="L374" s="2" t="s">
        <v>18</v>
      </c>
    </row>
    <row r="375" spans="1:12">
      <c r="A375" s="64">
        <v>375</v>
      </c>
      <c r="B375" s="61" t="s">
        <v>490</v>
      </c>
      <c r="C375" s="61" t="s">
        <v>496</v>
      </c>
      <c r="D375" s="58" t="s">
        <v>120</v>
      </c>
      <c r="E375" s="58" t="s">
        <v>32</v>
      </c>
      <c r="F375" s="58" t="s">
        <v>494</v>
      </c>
      <c r="G375" s="61"/>
      <c r="H375" s="61"/>
      <c r="I375" s="58"/>
      <c r="J375" s="61"/>
      <c r="K375" s="85"/>
      <c r="L375" s="2" t="s">
        <v>18</v>
      </c>
    </row>
    <row r="376" spans="1:12">
      <c r="A376" s="63">
        <v>376</v>
      </c>
      <c r="B376" s="59" t="s">
        <v>490</v>
      </c>
      <c r="C376" s="59" t="s">
        <v>496</v>
      </c>
      <c r="D376" s="60" t="s">
        <v>120</v>
      </c>
      <c r="E376" s="60" t="s">
        <v>32</v>
      </c>
      <c r="F376" s="60" t="s">
        <v>494</v>
      </c>
      <c r="G376" s="59"/>
      <c r="H376" s="59"/>
      <c r="I376" s="60"/>
      <c r="J376" s="59"/>
      <c r="K376" s="84"/>
      <c r="L376" s="2" t="s">
        <v>18</v>
      </c>
    </row>
    <row r="377" spans="1:12">
      <c r="A377" s="64">
        <v>377</v>
      </c>
      <c r="B377" s="61" t="s">
        <v>490</v>
      </c>
      <c r="C377" s="61" t="s">
        <v>496</v>
      </c>
      <c r="D377" s="58" t="s">
        <v>120</v>
      </c>
      <c r="E377" s="58" t="s">
        <v>32</v>
      </c>
      <c r="F377" s="58" t="s">
        <v>494</v>
      </c>
      <c r="G377" s="61"/>
      <c r="H377" s="61"/>
      <c r="I377" s="58"/>
      <c r="J377" s="61"/>
      <c r="K377" s="85"/>
      <c r="L377" s="2" t="s">
        <v>18</v>
      </c>
    </row>
    <row r="378" spans="1:12">
      <c r="A378" s="63">
        <v>378</v>
      </c>
      <c r="B378" s="59" t="s">
        <v>490</v>
      </c>
      <c r="C378" s="59" t="s">
        <v>496</v>
      </c>
      <c r="D378" s="60" t="s">
        <v>120</v>
      </c>
      <c r="E378" s="60" t="s">
        <v>32</v>
      </c>
      <c r="F378" s="60" t="s">
        <v>494</v>
      </c>
      <c r="G378" s="59"/>
      <c r="H378" s="59"/>
      <c r="I378" s="60"/>
      <c r="J378" s="59"/>
      <c r="K378" s="84"/>
      <c r="L378" s="2" t="s">
        <v>18</v>
      </c>
    </row>
    <row r="379" spans="1:12">
      <c r="A379" s="64">
        <v>379</v>
      </c>
      <c r="B379" s="61" t="s">
        <v>490</v>
      </c>
      <c r="C379" s="61" t="s">
        <v>496</v>
      </c>
      <c r="D379" s="58" t="s">
        <v>120</v>
      </c>
      <c r="E379" s="58" t="s">
        <v>32</v>
      </c>
      <c r="F379" s="58" t="s">
        <v>494</v>
      </c>
      <c r="G379" s="61"/>
      <c r="H379" s="61"/>
      <c r="I379" s="58"/>
      <c r="J379" s="61"/>
      <c r="K379" s="85"/>
      <c r="L379" s="2" t="s">
        <v>18</v>
      </c>
    </row>
    <row r="380" spans="1:12">
      <c r="A380" s="63">
        <v>380</v>
      </c>
      <c r="B380" s="59" t="s">
        <v>490</v>
      </c>
      <c r="C380" s="59" t="s">
        <v>496</v>
      </c>
      <c r="D380" s="60" t="s">
        <v>120</v>
      </c>
      <c r="E380" s="60" t="s">
        <v>32</v>
      </c>
      <c r="F380" s="60" t="s">
        <v>494</v>
      </c>
      <c r="G380" s="59"/>
      <c r="H380" s="59"/>
      <c r="I380" s="60"/>
      <c r="J380" s="59"/>
      <c r="K380" s="84"/>
      <c r="L380" s="2" t="s">
        <v>18</v>
      </c>
    </row>
    <row r="381" spans="1:12">
      <c r="A381" s="64">
        <v>381</v>
      </c>
      <c r="B381" s="61" t="s">
        <v>490</v>
      </c>
      <c r="C381" s="61" t="s">
        <v>496</v>
      </c>
      <c r="D381" s="58" t="s">
        <v>120</v>
      </c>
      <c r="E381" s="58" t="s">
        <v>32</v>
      </c>
      <c r="F381" s="58" t="s">
        <v>494</v>
      </c>
      <c r="G381" s="61"/>
      <c r="H381" s="61"/>
      <c r="I381" s="58"/>
      <c r="J381" s="61"/>
      <c r="K381" s="85"/>
      <c r="L381" s="2" t="s">
        <v>18</v>
      </c>
    </row>
    <row r="382" spans="1:12">
      <c r="A382" s="63">
        <v>382</v>
      </c>
      <c r="B382" s="59" t="s">
        <v>490</v>
      </c>
      <c r="C382" s="59" t="s">
        <v>496</v>
      </c>
      <c r="D382" s="60" t="s">
        <v>120</v>
      </c>
      <c r="E382" s="60" t="s">
        <v>32</v>
      </c>
      <c r="F382" s="60" t="s">
        <v>494</v>
      </c>
      <c r="G382" s="59"/>
      <c r="H382" s="59"/>
      <c r="I382" s="60"/>
      <c r="J382" s="59"/>
      <c r="K382" s="84"/>
      <c r="L382" s="2" t="s">
        <v>18</v>
      </c>
    </row>
    <row r="383" spans="1:12">
      <c r="A383" s="64">
        <v>383</v>
      </c>
      <c r="B383" s="61" t="s">
        <v>490</v>
      </c>
      <c r="C383" s="61" t="s">
        <v>496</v>
      </c>
      <c r="D383" s="58" t="s">
        <v>120</v>
      </c>
      <c r="E383" s="58" t="s">
        <v>32</v>
      </c>
      <c r="F383" s="58" t="s">
        <v>494</v>
      </c>
      <c r="G383" s="61"/>
      <c r="H383" s="61"/>
      <c r="I383" s="58"/>
      <c r="J383" s="61"/>
      <c r="K383" s="85"/>
      <c r="L383" s="2" t="s">
        <v>18</v>
      </c>
    </row>
    <row r="384" spans="1:12">
      <c r="A384" s="63">
        <v>384</v>
      </c>
      <c r="B384" s="59" t="s">
        <v>490</v>
      </c>
      <c r="C384" s="59" t="s">
        <v>496</v>
      </c>
      <c r="D384" s="60" t="s">
        <v>120</v>
      </c>
      <c r="E384" s="60" t="s">
        <v>32</v>
      </c>
      <c r="F384" s="60" t="s">
        <v>494</v>
      </c>
      <c r="G384" s="59"/>
      <c r="H384" s="59"/>
      <c r="I384" s="60"/>
      <c r="J384" s="59"/>
      <c r="K384" s="84"/>
      <c r="L384" s="2" t="s">
        <v>18</v>
      </c>
    </row>
    <row r="385" spans="1:12">
      <c r="A385" s="64">
        <v>385</v>
      </c>
      <c r="B385" s="61" t="s">
        <v>490</v>
      </c>
      <c r="C385" s="61" t="s">
        <v>496</v>
      </c>
      <c r="D385" s="58" t="s">
        <v>120</v>
      </c>
      <c r="E385" s="58" t="s">
        <v>32</v>
      </c>
      <c r="F385" s="58" t="s">
        <v>494</v>
      </c>
      <c r="G385" s="61"/>
      <c r="H385" s="61"/>
      <c r="I385" s="58"/>
      <c r="J385" s="61"/>
      <c r="K385" s="85"/>
      <c r="L385" s="2" t="s">
        <v>18</v>
      </c>
    </row>
    <row r="386" spans="1:12">
      <c r="A386" s="63">
        <v>386</v>
      </c>
      <c r="B386" s="59" t="s">
        <v>490</v>
      </c>
      <c r="C386" s="59" t="s">
        <v>496</v>
      </c>
      <c r="D386" s="60" t="s">
        <v>120</v>
      </c>
      <c r="E386" s="60" t="s">
        <v>32</v>
      </c>
      <c r="F386" s="60" t="s">
        <v>494</v>
      </c>
      <c r="G386" s="59"/>
      <c r="H386" s="59"/>
      <c r="I386" s="60"/>
      <c r="J386" s="59"/>
      <c r="K386" s="84"/>
      <c r="L386" s="2" t="s">
        <v>18</v>
      </c>
    </row>
    <row r="387" spans="1:12">
      <c r="A387" s="64">
        <v>387</v>
      </c>
      <c r="B387" s="61" t="s">
        <v>490</v>
      </c>
      <c r="C387" s="61" t="s">
        <v>496</v>
      </c>
      <c r="D387" s="58" t="s">
        <v>120</v>
      </c>
      <c r="E387" s="58" t="s">
        <v>32</v>
      </c>
      <c r="F387" s="58" t="s">
        <v>494</v>
      </c>
      <c r="G387" s="61"/>
      <c r="H387" s="61"/>
      <c r="I387" s="58"/>
      <c r="J387" s="61"/>
      <c r="K387" s="85"/>
      <c r="L387" s="2" t="s">
        <v>18</v>
      </c>
    </row>
    <row r="388" spans="1:12">
      <c r="A388" s="63">
        <v>388</v>
      </c>
      <c r="B388" s="59" t="s">
        <v>490</v>
      </c>
      <c r="C388" s="59" t="s">
        <v>496</v>
      </c>
      <c r="D388" s="60" t="s">
        <v>120</v>
      </c>
      <c r="E388" s="60" t="s">
        <v>32</v>
      </c>
      <c r="F388" s="60" t="s">
        <v>494</v>
      </c>
      <c r="G388" s="59"/>
      <c r="H388" s="59"/>
      <c r="I388" s="60"/>
      <c r="J388" s="59"/>
      <c r="K388" s="84"/>
      <c r="L388" s="2" t="s">
        <v>18</v>
      </c>
    </row>
    <row r="389" spans="1:12">
      <c r="A389" s="64">
        <v>389</v>
      </c>
      <c r="B389" s="61" t="s">
        <v>490</v>
      </c>
      <c r="C389" s="61" t="s">
        <v>496</v>
      </c>
      <c r="D389" s="58" t="s">
        <v>120</v>
      </c>
      <c r="E389" s="58" t="s">
        <v>32</v>
      </c>
      <c r="F389" s="58" t="s">
        <v>494</v>
      </c>
      <c r="G389" s="61"/>
      <c r="H389" s="61"/>
      <c r="I389" s="58"/>
      <c r="J389" s="61"/>
      <c r="K389" s="85"/>
      <c r="L389" s="2" t="s">
        <v>18</v>
      </c>
    </row>
    <row r="390" spans="1:12">
      <c r="A390" s="63">
        <v>390</v>
      </c>
      <c r="B390" s="59" t="s">
        <v>490</v>
      </c>
      <c r="C390" s="59" t="s">
        <v>496</v>
      </c>
      <c r="D390" s="60" t="s">
        <v>120</v>
      </c>
      <c r="E390" s="60" t="s">
        <v>32</v>
      </c>
      <c r="F390" s="60" t="s">
        <v>494</v>
      </c>
      <c r="G390" s="59"/>
      <c r="H390" s="59"/>
      <c r="I390" s="60"/>
      <c r="J390" s="59"/>
      <c r="K390" s="84"/>
      <c r="L390" s="2" t="s">
        <v>18</v>
      </c>
    </row>
    <row r="391" spans="1:12">
      <c r="A391" s="64">
        <v>391</v>
      </c>
      <c r="B391" s="61" t="s">
        <v>490</v>
      </c>
      <c r="C391" s="61" t="s">
        <v>496</v>
      </c>
      <c r="D391" s="58" t="s">
        <v>120</v>
      </c>
      <c r="E391" s="58" t="s">
        <v>32</v>
      </c>
      <c r="F391" s="58" t="s">
        <v>494</v>
      </c>
      <c r="G391" s="61"/>
      <c r="H391" s="61"/>
      <c r="I391" s="58"/>
      <c r="J391" s="61"/>
      <c r="K391" s="85"/>
      <c r="L391" s="2" t="s">
        <v>18</v>
      </c>
    </row>
    <row r="392" spans="1:12">
      <c r="A392" s="63">
        <v>392</v>
      </c>
      <c r="B392" s="59" t="s">
        <v>490</v>
      </c>
      <c r="C392" s="59" t="s">
        <v>496</v>
      </c>
      <c r="D392" s="60" t="s">
        <v>120</v>
      </c>
      <c r="E392" s="60" t="s">
        <v>32</v>
      </c>
      <c r="F392" s="60" t="s">
        <v>494</v>
      </c>
      <c r="G392" s="59"/>
      <c r="H392" s="59"/>
      <c r="I392" s="60"/>
      <c r="J392" s="59"/>
      <c r="K392" s="84"/>
      <c r="L392" s="2" t="s">
        <v>18</v>
      </c>
    </row>
    <row r="393" spans="1:12">
      <c r="A393" s="64">
        <v>393</v>
      </c>
      <c r="B393" s="61" t="s">
        <v>490</v>
      </c>
      <c r="C393" s="61" t="s">
        <v>496</v>
      </c>
      <c r="D393" s="58" t="s">
        <v>120</v>
      </c>
      <c r="E393" s="58" t="s">
        <v>492</v>
      </c>
      <c r="F393" s="58" t="s">
        <v>494</v>
      </c>
      <c r="G393" s="61"/>
      <c r="H393" s="61"/>
      <c r="I393" s="58"/>
      <c r="J393" s="61"/>
      <c r="K393" s="85"/>
      <c r="L393" s="2" t="s">
        <v>18</v>
      </c>
    </row>
    <row r="394" spans="1:12">
      <c r="A394" s="63">
        <v>394</v>
      </c>
      <c r="B394" s="59" t="s">
        <v>490</v>
      </c>
      <c r="C394" s="59" t="s">
        <v>496</v>
      </c>
      <c r="D394" s="60" t="s">
        <v>120</v>
      </c>
      <c r="E394" s="60" t="s">
        <v>492</v>
      </c>
      <c r="F394" s="60" t="s">
        <v>494</v>
      </c>
      <c r="G394" s="59"/>
      <c r="H394" s="59"/>
      <c r="I394" s="60"/>
      <c r="J394" s="59"/>
      <c r="K394" s="84"/>
      <c r="L394" s="2" t="s">
        <v>18</v>
      </c>
    </row>
    <row r="395" spans="1:12">
      <c r="A395" s="64">
        <v>395</v>
      </c>
      <c r="B395" s="61" t="s">
        <v>490</v>
      </c>
      <c r="C395" s="61" t="s">
        <v>496</v>
      </c>
      <c r="D395" s="58" t="s">
        <v>120</v>
      </c>
      <c r="E395" s="58" t="s">
        <v>492</v>
      </c>
      <c r="F395" s="58" t="s">
        <v>494</v>
      </c>
      <c r="G395" s="61"/>
      <c r="H395" s="61"/>
      <c r="I395" s="58"/>
      <c r="J395" s="61"/>
      <c r="K395" s="85"/>
      <c r="L395" s="2" t="s">
        <v>18</v>
      </c>
    </row>
    <row r="396" spans="1:12">
      <c r="A396" s="63">
        <v>396</v>
      </c>
      <c r="B396" s="59" t="s">
        <v>490</v>
      </c>
      <c r="C396" s="59" t="s">
        <v>496</v>
      </c>
      <c r="D396" s="60" t="s">
        <v>120</v>
      </c>
      <c r="E396" s="60" t="s">
        <v>492</v>
      </c>
      <c r="F396" s="60" t="s">
        <v>494</v>
      </c>
      <c r="G396" s="59"/>
      <c r="H396" s="59"/>
      <c r="I396" s="60"/>
      <c r="J396" s="59"/>
      <c r="K396" s="84"/>
      <c r="L396" s="2" t="s">
        <v>18</v>
      </c>
    </row>
    <row r="397" spans="1:12">
      <c r="A397" s="64">
        <v>397</v>
      </c>
      <c r="B397" s="61" t="s">
        <v>490</v>
      </c>
      <c r="C397" s="61" t="s">
        <v>496</v>
      </c>
      <c r="D397" s="58" t="s">
        <v>120</v>
      </c>
      <c r="E397" s="58" t="s">
        <v>492</v>
      </c>
      <c r="F397" s="58" t="s">
        <v>494</v>
      </c>
      <c r="G397" s="61"/>
      <c r="H397" s="61"/>
      <c r="I397" s="58"/>
      <c r="J397" s="61"/>
      <c r="K397" s="85"/>
      <c r="L397" s="2" t="s">
        <v>18</v>
      </c>
    </row>
    <row r="398" spans="1:12">
      <c r="A398" s="63">
        <v>398</v>
      </c>
      <c r="B398" s="59" t="s">
        <v>490</v>
      </c>
      <c r="C398" s="59" t="s">
        <v>496</v>
      </c>
      <c r="D398" s="60" t="s">
        <v>120</v>
      </c>
      <c r="E398" s="60" t="s">
        <v>492</v>
      </c>
      <c r="F398" s="60" t="s">
        <v>494</v>
      </c>
      <c r="G398" s="59"/>
      <c r="H398" s="59"/>
      <c r="I398" s="60"/>
      <c r="J398" s="59"/>
      <c r="K398" s="84"/>
      <c r="L398" s="2" t="s">
        <v>18</v>
      </c>
    </row>
    <row r="399" spans="1:12">
      <c r="A399" s="64">
        <v>399</v>
      </c>
      <c r="B399" s="61" t="s">
        <v>490</v>
      </c>
      <c r="C399" s="61" t="s">
        <v>496</v>
      </c>
      <c r="D399" s="58" t="s">
        <v>120</v>
      </c>
      <c r="E399" s="58" t="s">
        <v>492</v>
      </c>
      <c r="F399" s="58" t="s">
        <v>494</v>
      </c>
      <c r="G399" s="61"/>
      <c r="H399" s="61"/>
      <c r="I399" s="58"/>
      <c r="J399" s="61"/>
      <c r="K399" s="85"/>
      <c r="L399" s="2" t="s">
        <v>18</v>
      </c>
    </row>
    <row r="400" spans="1:12">
      <c r="A400" s="63">
        <v>400</v>
      </c>
      <c r="B400" s="59" t="s">
        <v>490</v>
      </c>
      <c r="C400" s="59" t="s">
        <v>496</v>
      </c>
      <c r="D400" s="60" t="s">
        <v>120</v>
      </c>
      <c r="E400" s="60" t="s">
        <v>492</v>
      </c>
      <c r="F400" s="60" t="s">
        <v>494</v>
      </c>
      <c r="G400" s="59"/>
      <c r="H400" s="59"/>
      <c r="I400" s="60"/>
      <c r="J400" s="59"/>
      <c r="K400" s="84"/>
      <c r="L400" s="2" t="s">
        <v>18</v>
      </c>
    </row>
    <row r="401" spans="1:12">
      <c r="A401" s="64">
        <v>401</v>
      </c>
      <c r="B401" s="61" t="s">
        <v>490</v>
      </c>
      <c r="C401" s="61" t="s">
        <v>496</v>
      </c>
      <c r="D401" s="58" t="s">
        <v>120</v>
      </c>
      <c r="E401" s="58" t="s">
        <v>492</v>
      </c>
      <c r="F401" s="58" t="s">
        <v>494</v>
      </c>
      <c r="G401" s="61"/>
      <c r="H401" s="61"/>
      <c r="I401" s="58"/>
      <c r="J401" s="61"/>
      <c r="K401" s="85"/>
      <c r="L401" s="2" t="s">
        <v>18</v>
      </c>
    </row>
    <row r="402" spans="1:12">
      <c r="A402" s="63">
        <v>402</v>
      </c>
      <c r="B402" s="59" t="s">
        <v>490</v>
      </c>
      <c r="C402" s="59" t="s">
        <v>496</v>
      </c>
      <c r="D402" s="60" t="s">
        <v>120</v>
      </c>
      <c r="E402" s="60" t="s">
        <v>492</v>
      </c>
      <c r="F402" s="60" t="s">
        <v>494</v>
      </c>
      <c r="G402" s="59"/>
      <c r="H402" s="59"/>
      <c r="I402" s="60"/>
      <c r="J402" s="59"/>
      <c r="K402" s="84"/>
      <c r="L402" s="2" t="s">
        <v>18</v>
      </c>
    </row>
    <row r="403" spans="1:12">
      <c r="A403" s="64">
        <v>403</v>
      </c>
      <c r="B403" s="61" t="s">
        <v>490</v>
      </c>
      <c r="C403" s="61" t="s">
        <v>496</v>
      </c>
      <c r="D403" s="58" t="s">
        <v>120</v>
      </c>
      <c r="E403" s="58" t="s">
        <v>165</v>
      </c>
      <c r="F403" s="58" t="s">
        <v>494</v>
      </c>
      <c r="G403" s="61"/>
      <c r="H403" s="61"/>
      <c r="I403" s="58"/>
      <c r="J403" s="61"/>
      <c r="K403" s="85"/>
      <c r="L403" s="2" t="s">
        <v>18</v>
      </c>
    </row>
    <row r="404" spans="1:12">
      <c r="A404" s="63">
        <v>404</v>
      </c>
      <c r="B404" s="59" t="s">
        <v>490</v>
      </c>
      <c r="C404" s="59" t="s">
        <v>496</v>
      </c>
      <c r="D404" s="60" t="s">
        <v>120</v>
      </c>
      <c r="E404" s="60" t="s">
        <v>165</v>
      </c>
      <c r="F404" s="60" t="s">
        <v>494</v>
      </c>
      <c r="G404" s="59"/>
      <c r="H404" s="59"/>
      <c r="I404" s="60"/>
      <c r="J404" s="59"/>
      <c r="K404" s="84"/>
      <c r="L404" s="2" t="s">
        <v>18</v>
      </c>
    </row>
    <row r="405" spans="1:12">
      <c r="A405" s="64">
        <v>405</v>
      </c>
      <c r="B405" s="61" t="s">
        <v>490</v>
      </c>
      <c r="C405" s="61" t="s">
        <v>496</v>
      </c>
      <c r="D405" s="58" t="s">
        <v>120</v>
      </c>
      <c r="E405" s="58" t="s">
        <v>165</v>
      </c>
      <c r="F405" s="58" t="s">
        <v>494</v>
      </c>
      <c r="G405" s="61"/>
      <c r="H405" s="61"/>
      <c r="I405" s="58"/>
      <c r="J405" s="61"/>
      <c r="K405" s="85"/>
      <c r="L405" s="2" t="s">
        <v>18</v>
      </c>
    </row>
    <row r="406" spans="1:12">
      <c r="A406" s="63">
        <v>406</v>
      </c>
      <c r="B406" s="59" t="s">
        <v>490</v>
      </c>
      <c r="C406" s="59" t="s">
        <v>496</v>
      </c>
      <c r="D406" s="60" t="s">
        <v>120</v>
      </c>
      <c r="E406" s="60" t="s">
        <v>165</v>
      </c>
      <c r="F406" s="60" t="s">
        <v>494</v>
      </c>
      <c r="G406" s="59"/>
      <c r="H406" s="59"/>
      <c r="I406" s="60"/>
      <c r="J406" s="59"/>
      <c r="K406" s="84"/>
      <c r="L406" s="2" t="s">
        <v>18</v>
      </c>
    </row>
    <row r="407" spans="1:12">
      <c r="A407" s="64">
        <v>407</v>
      </c>
      <c r="B407" s="61" t="s">
        <v>490</v>
      </c>
      <c r="C407" s="61" t="s">
        <v>496</v>
      </c>
      <c r="D407" s="58" t="s">
        <v>120</v>
      </c>
      <c r="E407" s="58" t="s">
        <v>165</v>
      </c>
      <c r="F407" s="58" t="s">
        <v>494</v>
      </c>
      <c r="G407" s="61"/>
      <c r="H407" s="61"/>
      <c r="I407" s="58"/>
      <c r="J407" s="61"/>
      <c r="K407" s="85"/>
      <c r="L407" s="2" t="s">
        <v>18</v>
      </c>
    </row>
    <row r="408" spans="1:12">
      <c r="A408" s="63">
        <v>408</v>
      </c>
      <c r="B408" s="59" t="s">
        <v>490</v>
      </c>
      <c r="C408" s="59" t="s">
        <v>496</v>
      </c>
      <c r="D408" s="60" t="s">
        <v>120</v>
      </c>
      <c r="E408" s="60" t="s">
        <v>165</v>
      </c>
      <c r="F408" s="60" t="s">
        <v>494</v>
      </c>
      <c r="G408" s="59"/>
      <c r="H408" s="59"/>
      <c r="I408" s="60"/>
      <c r="J408" s="59"/>
      <c r="K408" s="84"/>
      <c r="L408" s="2" t="s">
        <v>18</v>
      </c>
    </row>
    <row r="409" spans="1:12">
      <c r="A409" s="64">
        <v>409</v>
      </c>
      <c r="B409" s="61" t="s">
        <v>490</v>
      </c>
      <c r="C409" s="61" t="s">
        <v>496</v>
      </c>
      <c r="D409" s="58" t="s">
        <v>120</v>
      </c>
      <c r="E409" s="58" t="s">
        <v>165</v>
      </c>
      <c r="F409" s="58" t="s">
        <v>494</v>
      </c>
      <c r="G409" s="61"/>
      <c r="H409" s="61"/>
      <c r="I409" s="58"/>
      <c r="J409" s="61"/>
      <c r="K409" s="85"/>
      <c r="L409" s="2" t="s">
        <v>18</v>
      </c>
    </row>
    <row r="410" spans="1:12">
      <c r="A410" s="63">
        <v>410</v>
      </c>
      <c r="B410" s="59" t="s">
        <v>490</v>
      </c>
      <c r="C410" s="59" t="s">
        <v>496</v>
      </c>
      <c r="D410" s="60" t="s">
        <v>120</v>
      </c>
      <c r="E410" s="60" t="s">
        <v>165</v>
      </c>
      <c r="F410" s="60" t="s">
        <v>494</v>
      </c>
      <c r="G410" s="59"/>
      <c r="H410" s="59"/>
      <c r="I410" s="60"/>
      <c r="J410" s="59"/>
      <c r="K410" s="84"/>
      <c r="L410" s="2" t="s">
        <v>18</v>
      </c>
    </row>
    <row r="411" spans="1:12">
      <c r="A411" s="64">
        <v>411</v>
      </c>
      <c r="B411" s="61" t="s">
        <v>490</v>
      </c>
      <c r="C411" s="61" t="s">
        <v>496</v>
      </c>
      <c r="D411" s="58" t="s">
        <v>120</v>
      </c>
      <c r="E411" s="58" t="s">
        <v>165</v>
      </c>
      <c r="F411" s="58" t="s">
        <v>494</v>
      </c>
      <c r="G411" s="61"/>
      <c r="H411" s="61"/>
      <c r="I411" s="58"/>
      <c r="J411" s="61"/>
      <c r="K411" s="85"/>
      <c r="L411" s="2" t="s">
        <v>18</v>
      </c>
    </row>
    <row r="412" spans="1:12">
      <c r="A412" s="63">
        <v>412</v>
      </c>
      <c r="B412" s="59" t="s">
        <v>490</v>
      </c>
      <c r="C412" s="59" t="s">
        <v>496</v>
      </c>
      <c r="D412" s="60" t="s">
        <v>120</v>
      </c>
      <c r="E412" s="60" t="s">
        <v>165</v>
      </c>
      <c r="F412" s="60" t="s">
        <v>494</v>
      </c>
      <c r="G412" s="59"/>
      <c r="H412" s="59"/>
      <c r="I412" s="60"/>
      <c r="J412" s="59"/>
      <c r="K412" s="84"/>
      <c r="L412" s="2" t="s">
        <v>18</v>
      </c>
    </row>
    <row r="413" spans="1:12">
      <c r="A413" s="64">
        <v>413</v>
      </c>
      <c r="B413" s="61" t="s">
        <v>490</v>
      </c>
      <c r="C413" s="61" t="s">
        <v>496</v>
      </c>
      <c r="D413" s="58" t="s">
        <v>120</v>
      </c>
      <c r="E413" s="58" t="s">
        <v>165</v>
      </c>
      <c r="F413" s="58" t="s">
        <v>494</v>
      </c>
      <c r="G413" s="61"/>
      <c r="H413" s="61"/>
      <c r="I413" s="58"/>
      <c r="J413" s="61"/>
      <c r="K413" s="85"/>
      <c r="L413" s="2" t="s">
        <v>18</v>
      </c>
    </row>
    <row r="414" spans="1:12">
      <c r="A414" s="63">
        <v>414</v>
      </c>
      <c r="B414" s="59" t="s">
        <v>490</v>
      </c>
      <c r="C414" s="59" t="s">
        <v>496</v>
      </c>
      <c r="D414" s="60" t="s">
        <v>120</v>
      </c>
      <c r="E414" s="60" t="s">
        <v>165</v>
      </c>
      <c r="F414" s="60" t="s">
        <v>494</v>
      </c>
      <c r="G414" s="59"/>
      <c r="H414" s="59"/>
      <c r="I414" s="60"/>
      <c r="J414" s="59"/>
      <c r="K414" s="84"/>
      <c r="L414" s="2" t="s">
        <v>18</v>
      </c>
    </row>
    <row r="415" spans="1:12">
      <c r="A415" s="64">
        <v>415</v>
      </c>
      <c r="B415" s="61" t="s">
        <v>490</v>
      </c>
      <c r="C415" s="61" t="s">
        <v>496</v>
      </c>
      <c r="D415" s="58" t="s">
        <v>120</v>
      </c>
      <c r="E415" s="58" t="s">
        <v>165</v>
      </c>
      <c r="F415" s="58" t="s">
        <v>494</v>
      </c>
      <c r="G415" s="61"/>
      <c r="H415" s="61"/>
      <c r="I415" s="58"/>
      <c r="J415" s="61"/>
      <c r="K415" s="85"/>
      <c r="L415" s="2" t="s">
        <v>18</v>
      </c>
    </row>
    <row r="416" spans="1:12">
      <c r="A416" s="63">
        <v>416</v>
      </c>
      <c r="B416" s="59" t="s">
        <v>490</v>
      </c>
      <c r="C416" s="59" t="s">
        <v>496</v>
      </c>
      <c r="D416" s="60" t="s">
        <v>120</v>
      </c>
      <c r="E416" s="60" t="s">
        <v>165</v>
      </c>
      <c r="F416" s="60" t="s">
        <v>494</v>
      </c>
      <c r="G416" s="59"/>
      <c r="H416" s="59"/>
      <c r="I416" s="60"/>
      <c r="J416" s="59"/>
      <c r="K416" s="84"/>
      <c r="L416" s="2" t="s">
        <v>18</v>
      </c>
    </row>
    <row r="417" spans="1:12">
      <c r="A417" s="64">
        <v>417</v>
      </c>
      <c r="B417" s="61" t="s">
        <v>490</v>
      </c>
      <c r="C417" s="61" t="s">
        <v>496</v>
      </c>
      <c r="D417" s="58" t="s">
        <v>120</v>
      </c>
      <c r="E417" s="58" t="s">
        <v>165</v>
      </c>
      <c r="F417" s="58" t="s">
        <v>494</v>
      </c>
      <c r="G417" s="61"/>
      <c r="H417" s="61"/>
      <c r="I417" s="58"/>
      <c r="J417" s="61"/>
      <c r="K417" s="85"/>
      <c r="L417" s="2" t="s">
        <v>18</v>
      </c>
    </row>
    <row r="418" spans="1:12">
      <c r="A418" s="63">
        <v>418</v>
      </c>
      <c r="B418" s="59" t="s">
        <v>490</v>
      </c>
      <c r="C418" s="59" t="s">
        <v>496</v>
      </c>
      <c r="D418" s="60" t="s">
        <v>120</v>
      </c>
      <c r="E418" s="60" t="s">
        <v>165</v>
      </c>
      <c r="F418" s="60" t="s">
        <v>494</v>
      </c>
      <c r="G418" s="59"/>
      <c r="H418" s="59"/>
      <c r="I418" s="60"/>
      <c r="J418" s="59"/>
      <c r="K418" s="84"/>
      <c r="L418" s="2" t="s">
        <v>18</v>
      </c>
    </row>
    <row r="419" spans="1:12">
      <c r="A419" s="64">
        <v>419</v>
      </c>
      <c r="B419" s="61" t="s">
        <v>490</v>
      </c>
      <c r="C419" s="61" t="s">
        <v>496</v>
      </c>
      <c r="D419" s="58" t="s">
        <v>120</v>
      </c>
      <c r="E419" s="58" t="s">
        <v>165</v>
      </c>
      <c r="F419" s="58" t="s">
        <v>494</v>
      </c>
      <c r="G419" s="61"/>
      <c r="H419" s="61"/>
      <c r="I419" s="58"/>
      <c r="J419" s="61"/>
      <c r="K419" s="85"/>
      <c r="L419" s="2" t="s">
        <v>18</v>
      </c>
    </row>
    <row r="420" spans="1:12">
      <c r="A420" s="63">
        <v>420</v>
      </c>
      <c r="B420" s="59" t="s">
        <v>490</v>
      </c>
      <c r="C420" s="59" t="s">
        <v>496</v>
      </c>
      <c r="D420" s="60" t="s">
        <v>120</v>
      </c>
      <c r="E420" s="60" t="s">
        <v>165</v>
      </c>
      <c r="F420" s="60" t="s">
        <v>494</v>
      </c>
      <c r="G420" s="59"/>
      <c r="H420" s="59"/>
      <c r="I420" s="60"/>
      <c r="J420" s="59"/>
      <c r="K420" s="84"/>
      <c r="L420" s="2" t="s">
        <v>18</v>
      </c>
    </row>
    <row r="421" spans="1:12">
      <c r="A421" s="64">
        <v>421</v>
      </c>
      <c r="B421" s="61" t="s">
        <v>490</v>
      </c>
      <c r="C421" s="61" t="s">
        <v>496</v>
      </c>
      <c r="D421" s="58" t="s">
        <v>120</v>
      </c>
      <c r="E421" s="58" t="s">
        <v>36</v>
      </c>
      <c r="F421" s="58" t="s">
        <v>494</v>
      </c>
      <c r="G421" s="61"/>
      <c r="H421" s="61"/>
      <c r="I421" s="58"/>
      <c r="J421" s="61"/>
      <c r="K421" s="85"/>
      <c r="L421" s="2" t="s">
        <v>18</v>
      </c>
    </row>
    <row r="422" spans="1:12">
      <c r="A422" s="63">
        <v>422</v>
      </c>
      <c r="B422" s="59" t="s">
        <v>490</v>
      </c>
      <c r="C422" s="59" t="s">
        <v>496</v>
      </c>
      <c r="D422" s="60" t="s">
        <v>120</v>
      </c>
      <c r="E422" s="60" t="s">
        <v>36</v>
      </c>
      <c r="F422" s="60" t="s">
        <v>494</v>
      </c>
      <c r="G422" s="59"/>
      <c r="H422" s="59"/>
      <c r="I422" s="60"/>
      <c r="J422" s="59"/>
      <c r="K422" s="84"/>
      <c r="L422" s="2" t="s">
        <v>18</v>
      </c>
    </row>
    <row r="423" spans="1:12">
      <c r="A423" s="64">
        <v>423</v>
      </c>
      <c r="B423" s="61" t="s">
        <v>490</v>
      </c>
      <c r="C423" s="61" t="s">
        <v>496</v>
      </c>
      <c r="D423" s="58" t="s">
        <v>120</v>
      </c>
      <c r="E423" s="58" t="s">
        <v>36</v>
      </c>
      <c r="F423" s="58" t="s">
        <v>494</v>
      </c>
      <c r="G423" s="61"/>
      <c r="H423" s="61"/>
      <c r="I423" s="58"/>
      <c r="J423" s="61"/>
      <c r="K423" s="85"/>
      <c r="L423" s="2" t="s">
        <v>18</v>
      </c>
    </row>
    <row r="424" spans="1:12">
      <c r="A424" s="63">
        <v>424</v>
      </c>
      <c r="B424" s="59" t="s">
        <v>490</v>
      </c>
      <c r="C424" s="59" t="s">
        <v>496</v>
      </c>
      <c r="D424" s="60" t="s">
        <v>120</v>
      </c>
      <c r="E424" s="60" t="s">
        <v>36</v>
      </c>
      <c r="F424" s="60" t="s">
        <v>494</v>
      </c>
      <c r="G424" s="59"/>
      <c r="H424" s="59"/>
      <c r="I424" s="60"/>
      <c r="J424" s="59"/>
      <c r="K424" s="84"/>
      <c r="L424" s="2" t="s">
        <v>18</v>
      </c>
    </row>
    <row r="425" spans="1:12">
      <c r="A425" s="64">
        <v>425</v>
      </c>
      <c r="B425" s="61" t="s">
        <v>490</v>
      </c>
      <c r="C425" s="61" t="s">
        <v>496</v>
      </c>
      <c r="D425" s="58" t="s">
        <v>120</v>
      </c>
      <c r="E425" s="58" t="s">
        <v>36</v>
      </c>
      <c r="F425" s="58" t="s">
        <v>494</v>
      </c>
      <c r="G425" s="61"/>
      <c r="H425" s="61"/>
      <c r="I425" s="58"/>
      <c r="J425" s="61"/>
      <c r="K425" s="85"/>
      <c r="L425" s="2" t="s">
        <v>18</v>
      </c>
    </row>
    <row r="426" spans="1:12">
      <c r="A426" s="63">
        <v>426</v>
      </c>
      <c r="B426" s="59" t="s">
        <v>490</v>
      </c>
      <c r="C426" s="59" t="s">
        <v>496</v>
      </c>
      <c r="D426" s="60" t="s">
        <v>120</v>
      </c>
      <c r="E426" s="60" t="s">
        <v>36</v>
      </c>
      <c r="F426" s="60" t="s">
        <v>494</v>
      </c>
      <c r="G426" s="59"/>
      <c r="H426" s="59"/>
      <c r="I426" s="60"/>
      <c r="J426" s="59"/>
      <c r="K426" s="84"/>
      <c r="L426" s="2" t="s">
        <v>18</v>
      </c>
    </row>
    <row r="427" spans="1:12">
      <c r="A427" s="64">
        <v>427</v>
      </c>
      <c r="B427" s="61" t="s">
        <v>490</v>
      </c>
      <c r="C427" s="61" t="s">
        <v>496</v>
      </c>
      <c r="D427" s="58" t="s">
        <v>120</v>
      </c>
      <c r="E427" s="58" t="s">
        <v>36</v>
      </c>
      <c r="F427" s="58" t="s">
        <v>494</v>
      </c>
      <c r="G427" s="61"/>
      <c r="H427" s="61"/>
      <c r="I427" s="58"/>
      <c r="J427" s="61"/>
      <c r="K427" s="85"/>
      <c r="L427" s="2" t="s">
        <v>18</v>
      </c>
    </row>
    <row r="428" spans="1:12">
      <c r="A428" s="63">
        <v>428</v>
      </c>
      <c r="B428" s="59" t="s">
        <v>490</v>
      </c>
      <c r="C428" s="59" t="s">
        <v>496</v>
      </c>
      <c r="D428" s="60" t="s">
        <v>120</v>
      </c>
      <c r="E428" s="60" t="s">
        <v>36</v>
      </c>
      <c r="F428" s="60" t="s">
        <v>494</v>
      </c>
      <c r="G428" s="59"/>
      <c r="H428" s="59"/>
      <c r="I428" s="60"/>
      <c r="J428" s="59"/>
      <c r="K428" s="84"/>
      <c r="L428" s="2" t="s">
        <v>18</v>
      </c>
    </row>
    <row r="429" spans="1:12">
      <c r="A429" s="64">
        <v>429</v>
      </c>
      <c r="B429" s="61" t="s">
        <v>490</v>
      </c>
      <c r="C429" s="61" t="s">
        <v>496</v>
      </c>
      <c r="D429" s="58" t="s">
        <v>120</v>
      </c>
      <c r="E429" s="58" t="s">
        <v>36</v>
      </c>
      <c r="F429" s="58" t="s">
        <v>494</v>
      </c>
      <c r="G429" s="61"/>
      <c r="H429" s="61"/>
      <c r="I429" s="58"/>
      <c r="J429" s="61"/>
      <c r="K429" s="85"/>
      <c r="L429" s="2" t="s">
        <v>18</v>
      </c>
    </row>
    <row r="430" spans="1:12">
      <c r="A430" s="63">
        <v>430</v>
      </c>
      <c r="B430" s="59" t="s">
        <v>490</v>
      </c>
      <c r="C430" s="59" t="s">
        <v>496</v>
      </c>
      <c r="D430" s="60" t="s">
        <v>120</v>
      </c>
      <c r="E430" s="60" t="s">
        <v>36</v>
      </c>
      <c r="F430" s="60" t="s">
        <v>494</v>
      </c>
      <c r="G430" s="59"/>
      <c r="H430" s="59"/>
      <c r="I430" s="60"/>
      <c r="J430" s="59"/>
      <c r="K430" s="84"/>
      <c r="L430" s="2" t="s">
        <v>18</v>
      </c>
    </row>
    <row r="431" spans="1:12">
      <c r="A431" s="64">
        <v>431</v>
      </c>
      <c r="B431" s="61" t="s">
        <v>490</v>
      </c>
      <c r="C431" s="61" t="s">
        <v>496</v>
      </c>
      <c r="D431" s="58" t="s">
        <v>120</v>
      </c>
      <c r="E431" s="58" t="s">
        <v>36</v>
      </c>
      <c r="F431" s="58" t="s">
        <v>494</v>
      </c>
      <c r="G431" s="61"/>
      <c r="H431" s="61"/>
      <c r="I431" s="58"/>
      <c r="J431" s="61"/>
      <c r="K431" s="85"/>
      <c r="L431" s="2" t="s">
        <v>18</v>
      </c>
    </row>
    <row r="432" spans="1:12">
      <c r="A432" s="63">
        <v>432</v>
      </c>
      <c r="B432" s="59" t="s">
        <v>490</v>
      </c>
      <c r="C432" s="59" t="s">
        <v>496</v>
      </c>
      <c r="D432" s="60" t="s">
        <v>120</v>
      </c>
      <c r="E432" s="60" t="s">
        <v>36</v>
      </c>
      <c r="F432" s="60" t="s">
        <v>494</v>
      </c>
      <c r="G432" s="59"/>
      <c r="H432" s="59"/>
      <c r="I432" s="60"/>
      <c r="J432" s="59"/>
      <c r="K432" s="84"/>
      <c r="L432" s="2" t="s">
        <v>18</v>
      </c>
    </row>
    <row r="433" spans="1:12">
      <c r="A433" s="64">
        <v>433</v>
      </c>
      <c r="B433" s="61" t="s">
        <v>490</v>
      </c>
      <c r="C433" s="61" t="s">
        <v>496</v>
      </c>
      <c r="D433" s="58" t="s">
        <v>120</v>
      </c>
      <c r="E433" s="58" t="s">
        <v>36</v>
      </c>
      <c r="F433" s="58" t="s">
        <v>494</v>
      </c>
      <c r="G433" s="61"/>
      <c r="H433" s="61"/>
      <c r="I433" s="58"/>
      <c r="J433" s="61"/>
      <c r="K433" s="85"/>
      <c r="L433" s="2" t="s">
        <v>18</v>
      </c>
    </row>
    <row r="434" spans="1:12">
      <c r="A434" s="63">
        <v>434</v>
      </c>
      <c r="B434" s="59" t="s">
        <v>490</v>
      </c>
      <c r="C434" s="59" t="s">
        <v>496</v>
      </c>
      <c r="D434" s="60" t="s">
        <v>120</v>
      </c>
      <c r="E434" s="60" t="s">
        <v>172</v>
      </c>
      <c r="F434" s="60" t="s">
        <v>494</v>
      </c>
      <c r="G434" s="59"/>
      <c r="H434" s="59"/>
      <c r="I434" s="60"/>
      <c r="J434" s="59"/>
      <c r="K434" s="84"/>
      <c r="L434" s="2" t="s">
        <v>18</v>
      </c>
    </row>
    <row r="435" spans="1:12">
      <c r="A435" s="64">
        <v>435</v>
      </c>
      <c r="B435" s="61" t="s">
        <v>490</v>
      </c>
      <c r="C435" s="61" t="s">
        <v>496</v>
      </c>
      <c r="D435" s="58" t="s">
        <v>120</v>
      </c>
      <c r="E435" s="58" t="s">
        <v>172</v>
      </c>
      <c r="F435" s="58" t="s">
        <v>494</v>
      </c>
      <c r="G435" s="61"/>
      <c r="H435" s="61"/>
      <c r="I435" s="58"/>
      <c r="J435" s="61"/>
      <c r="K435" s="85"/>
      <c r="L435" s="2" t="s">
        <v>18</v>
      </c>
    </row>
    <row r="436" spans="1:12">
      <c r="A436" s="63">
        <v>436</v>
      </c>
      <c r="B436" s="59" t="s">
        <v>490</v>
      </c>
      <c r="C436" s="59" t="s">
        <v>496</v>
      </c>
      <c r="D436" s="60" t="s">
        <v>120</v>
      </c>
      <c r="E436" s="60" t="s">
        <v>172</v>
      </c>
      <c r="F436" s="60" t="s">
        <v>494</v>
      </c>
      <c r="G436" s="59"/>
      <c r="H436" s="59"/>
      <c r="I436" s="60"/>
      <c r="J436" s="59"/>
      <c r="K436" s="84"/>
      <c r="L436" s="2" t="s">
        <v>18</v>
      </c>
    </row>
    <row r="437" spans="1:12">
      <c r="A437" s="64">
        <v>437</v>
      </c>
      <c r="B437" s="61" t="s">
        <v>490</v>
      </c>
      <c r="C437" s="61" t="s">
        <v>496</v>
      </c>
      <c r="D437" s="58" t="s">
        <v>120</v>
      </c>
      <c r="E437" s="58" t="s">
        <v>172</v>
      </c>
      <c r="F437" s="58" t="s">
        <v>494</v>
      </c>
      <c r="G437" s="61"/>
      <c r="H437" s="61"/>
      <c r="I437" s="58"/>
      <c r="J437" s="61"/>
      <c r="K437" s="85"/>
      <c r="L437" s="2" t="s">
        <v>18</v>
      </c>
    </row>
    <row r="438" spans="1:12">
      <c r="A438" s="63">
        <v>438</v>
      </c>
      <c r="B438" s="59" t="s">
        <v>490</v>
      </c>
      <c r="C438" s="59" t="s">
        <v>496</v>
      </c>
      <c r="D438" s="60" t="s">
        <v>120</v>
      </c>
      <c r="E438" s="60" t="s">
        <v>172</v>
      </c>
      <c r="F438" s="60" t="s">
        <v>494</v>
      </c>
      <c r="G438" s="59"/>
      <c r="H438" s="59"/>
      <c r="I438" s="60"/>
      <c r="J438" s="59"/>
      <c r="K438" s="84"/>
      <c r="L438" s="2" t="s">
        <v>18</v>
      </c>
    </row>
    <row r="439" spans="1:12">
      <c r="A439" s="64">
        <v>439</v>
      </c>
      <c r="B439" s="61" t="s">
        <v>490</v>
      </c>
      <c r="C439" s="61" t="s">
        <v>496</v>
      </c>
      <c r="D439" s="58" t="s">
        <v>120</v>
      </c>
      <c r="E439" s="58" t="s">
        <v>172</v>
      </c>
      <c r="F439" s="58" t="s">
        <v>494</v>
      </c>
      <c r="G439" s="61"/>
      <c r="H439" s="61"/>
      <c r="I439" s="58"/>
      <c r="J439" s="61"/>
      <c r="K439" s="85"/>
      <c r="L439" s="2" t="s">
        <v>18</v>
      </c>
    </row>
    <row r="440" spans="1:12">
      <c r="A440" s="63">
        <v>440</v>
      </c>
      <c r="B440" s="59" t="s">
        <v>490</v>
      </c>
      <c r="C440" s="59" t="s">
        <v>496</v>
      </c>
      <c r="D440" s="60" t="s">
        <v>120</v>
      </c>
      <c r="E440" s="60" t="s">
        <v>172</v>
      </c>
      <c r="F440" s="60" t="s">
        <v>494</v>
      </c>
      <c r="G440" s="59"/>
      <c r="H440" s="59"/>
      <c r="I440" s="60"/>
      <c r="J440" s="59"/>
      <c r="K440" s="84"/>
      <c r="L440" s="2" t="s">
        <v>18</v>
      </c>
    </row>
    <row r="441" spans="1:12">
      <c r="A441" s="64">
        <v>441</v>
      </c>
      <c r="B441" s="61" t="s">
        <v>490</v>
      </c>
      <c r="C441" s="61" t="s">
        <v>496</v>
      </c>
      <c r="D441" s="58" t="s">
        <v>120</v>
      </c>
      <c r="E441" s="58" t="s">
        <v>172</v>
      </c>
      <c r="F441" s="58" t="s">
        <v>494</v>
      </c>
      <c r="G441" s="61"/>
      <c r="H441" s="61"/>
      <c r="I441" s="58"/>
      <c r="J441" s="61"/>
      <c r="K441" s="85"/>
      <c r="L441" s="2" t="s">
        <v>18</v>
      </c>
    </row>
    <row r="442" spans="1:12">
      <c r="A442" s="63">
        <v>442</v>
      </c>
      <c r="B442" s="59" t="s">
        <v>490</v>
      </c>
      <c r="C442" s="59" t="s">
        <v>496</v>
      </c>
      <c r="D442" s="60" t="s">
        <v>120</v>
      </c>
      <c r="E442" s="60" t="s">
        <v>172</v>
      </c>
      <c r="F442" s="60" t="s">
        <v>494</v>
      </c>
      <c r="G442" s="59"/>
      <c r="H442" s="59"/>
      <c r="I442" s="60"/>
      <c r="J442" s="59"/>
      <c r="K442" s="84"/>
      <c r="L442" s="2" t="s">
        <v>18</v>
      </c>
    </row>
    <row r="443" spans="1:12">
      <c r="A443" s="64">
        <v>443</v>
      </c>
      <c r="B443" s="61" t="s">
        <v>490</v>
      </c>
      <c r="C443" s="61" t="s">
        <v>496</v>
      </c>
      <c r="D443" s="58" t="s">
        <v>120</v>
      </c>
      <c r="E443" s="58" t="s">
        <v>172</v>
      </c>
      <c r="F443" s="58" t="s">
        <v>494</v>
      </c>
      <c r="G443" s="61"/>
      <c r="H443" s="61"/>
      <c r="I443" s="58"/>
      <c r="J443" s="61"/>
      <c r="K443" s="85"/>
      <c r="L443" s="2" t="s">
        <v>18</v>
      </c>
    </row>
    <row r="444" spans="1:12">
      <c r="A444" s="63">
        <v>444</v>
      </c>
      <c r="B444" s="59" t="s">
        <v>490</v>
      </c>
      <c r="C444" s="59" t="s">
        <v>496</v>
      </c>
      <c r="D444" s="60" t="s">
        <v>120</v>
      </c>
      <c r="E444" s="60" t="s">
        <v>172</v>
      </c>
      <c r="F444" s="60" t="s">
        <v>494</v>
      </c>
      <c r="G444" s="59"/>
      <c r="H444" s="59"/>
      <c r="I444" s="60"/>
      <c r="J444" s="59"/>
      <c r="K444" s="84"/>
      <c r="L444" s="2" t="s">
        <v>18</v>
      </c>
    </row>
    <row r="445" spans="1:12">
      <c r="A445" s="64">
        <v>445</v>
      </c>
      <c r="B445" s="61" t="s">
        <v>490</v>
      </c>
      <c r="C445" s="61" t="s">
        <v>496</v>
      </c>
      <c r="D445" s="58" t="s">
        <v>120</v>
      </c>
      <c r="E445" s="58" t="s">
        <v>131</v>
      </c>
      <c r="F445" s="58" t="s">
        <v>494</v>
      </c>
      <c r="G445" s="61"/>
      <c r="H445" s="61"/>
      <c r="I445" s="58"/>
      <c r="J445" s="61"/>
      <c r="K445" s="85"/>
      <c r="L445" s="2" t="s">
        <v>18</v>
      </c>
    </row>
    <row r="446" spans="1:12">
      <c r="A446" s="63">
        <v>446</v>
      </c>
      <c r="B446" s="59" t="s">
        <v>490</v>
      </c>
      <c r="C446" s="59" t="s">
        <v>496</v>
      </c>
      <c r="D446" s="60" t="s">
        <v>120</v>
      </c>
      <c r="E446" s="60" t="s">
        <v>131</v>
      </c>
      <c r="F446" s="60" t="s">
        <v>494</v>
      </c>
      <c r="G446" s="59"/>
      <c r="H446" s="59"/>
      <c r="I446" s="60"/>
      <c r="J446" s="59"/>
      <c r="K446" s="84"/>
      <c r="L446" s="2" t="s">
        <v>18</v>
      </c>
    </row>
    <row r="447" spans="1:12">
      <c r="A447" s="64">
        <v>447</v>
      </c>
      <c r="B447" s="61" t="s">
        <v>490</v>
      </c>
      <c r="C447" s="61" t="s">
        <v>496</v>
      </c>
      <c r="D447" s="58" t="s">
        <v>120</v>
      </c>
      <c r="E447" s="58" t="s">
        <v>131</v>
      </c>
      <c r="F447" s="58" t="s">
        <v>494</v>
      </c>
      <c r="G447" s="61"/>
      <c r="H447" s="61"/>
      <c r="I447" s="58"/>
      <c r="J447" s="61"/>
      <c r="K447" s="85"/>
      <c r="L447" s="2" t="s">
        <v>18</v>
      </c>
    </row>
    <row r="448" spans="1:12">
      <c r="A448" s="63">
        <v>448</v>
      </c>
      <c r="B448" s="59" t="s">
        <v>490</v>
      </c>
      <c r="C448" s="59" t="s">
        <v>496</v>
      </c>
      <c r="D448" s="60" t="s">
        <v>120</v>
      </c>
      <c r="E448" s="60" t="s">
        <v>131</v>
      </c>
      <c r="F448" s="60" t="s">
        <v>494</v>
      </c>
      <c r="G448" s="59"/>
      <c r="H448" s="59"/>
      <c r="I448" s="60"/>
      <c r="J448" s="59"/>
      <c r="K448" s="84"/>
      <c r="L448" s="2" t="s">
        <v>18</v>
      </c>
    </row>
    <row r="449" spans="1:12">
      <c r="A449" s="64">
        <v>449</v>
      </c>
      <c r="B449" s="61" t="s">
        <v>490</v>
      </c>
      <c r="C449" s="61" t="s">
        <v>496</v>
      </c>
      <c r="D449" s="58" t="s">
        <v>120</v>
      </c>
      <c r="E449" s="58" t="s">
        <v>131</v>
      </c>
      <c r="F449" s="58" t="s">
        <v>494</v>
      </c>
      <c r="G449" s="61"/>
      <c r="H449" s="61"/>
      <c r="I449" s="58"/>
      <c r="J449" s="61"/>
      <c r="K449" s="85"/>
      <c r="L449" s="2" t="s">
        <v>18</v>
      </c>
    </row>
    <row r="450" spans="1:12">
      <c r="A450" s="63">
        <v>450</v>
      </c>
      <c r="B450" s="59" t="s">
        <v>490</v>
      </c>
      <c r="C450" s="59" t="s">
        <v>496</v>
      </c>
      <c r="D450" s="60" t="s">
        <v>120</v>
      </c>
      <c r="E450" s="60" t="s">
        <v>131</v>
      </c>
      <c r="F450" s="60" t="s">
        <v>494</v>
      </c>
      <c r="G450" s="59"/>
      <c r="H450" s="59"/>
      <c r="I450" s="60"/>
      <c r="J450" s="59"/>
      <c r="K450" s="84"/>
      <c r="L450" s="2" t="s">
        <v>18</v>
      </c>
    </row>
    <row r="451" spans="1:12">
      <c r="A451" s="64">
        <v>451</v>
      </c>
      <c r="B451" s="61" t="s">
        <v>490</v>
      </c>
      <c r="C451" s="61" t="s">
        <v>496</v>
      </c>
      <c r="D451" s="58" t="s">
        <v>120</v>
      </c>
      <c r="E451" s="58" t="s">
        <v>131</v>
      </c>
      <c r="F451" s="58" t="s">
        <v>494</v>
      </c>
      <c r="G451" s="61"/>
      <c r="H451" s="61"/>
      <c r="I451" s="58"/>
      <c r="J451" s="61"/>
      <c r="K451" s="85"/>
      <c r="L451" s="2" t="s">
        <v>18</v>
      </c>
    </row>
    <row r="452" spans="1:12">
      <c r="A452" s="63">
        <v>452</v>
      </c>
      <c r="B452" s="59" t="s">
        <v>490</v>
      </c>
      <c r="C452" s="59" t="s">
        <v>496</v>
      </c>
      <c r="D452" s="60" t="s">
        <v>120</v>
      </c>
      <c r="E452" s="60" t="s">
        <v>131</v>
      </c>
      <c r="F452" s="60" t="s">
        <v>494</v>
      </c>
      <c r="G452" s="59"/>
      <c r="H452" s="59"/>
      <c r="I452" s="60"/>
      <c r="J452" s="59"/>
      <c r="K452" s="84"/>
      <c r="L452" s="2" t="s">
        <v>18</v>
      </c>
    </row>
    <row r="453" spans="1:12">
      <c r="A453" s="64">
        <v>453</v>
      </c>
      <c r="B453" s="61" t="s">
        <v>490</v>
      </c>
      <c r="C453" s="61" t="s">
        <v>496</v>
      </c>
      <c r="D453" s="58" t="s">
        <v>120</v>
      </c>
      <c r="E453" s="58" t="s">
        <v>44</v>
      </c>
      <c r="F453" s="58" t="s">
        <v>494</v>
      </c>
      <c r="G453" s="61"/>
      <c r="H453" s="61"/>
      <c r="I453" s="58"/>
      <c r="J453" s="61"/>
      <c r="K453" s="85"/>
      <c r="L453" s="2" t="s">
        <v>18</v>
      </c>
    </row>
    <row r="454" spans="1:12">
      <c r="A454" s="63">
        <v>454</v>
      </c>
      <c r="B454" s="59" t="s">
        <v>490</v>
      </c>
      <c r="C454" s="59" t="s">
        <v>496</v>
      </c>
      <c r="D454" s="60" t="s">
        <v>120</v>
      </c>
      <c r="E454" s="60" t="s">
        <v>44</v>
      </c>
      <c r="F454" s="60" t="s">
        <v>494</v>
      </c>
      <c r="G454" s="59"/>
      <c r="H454" s="59"/>
      <c r="I454" s="60"/>
      <c r="J454" s="59"/>
      <c r="K454" s="84"/>
      <c r="L454" s="2" t="s">
        <v>18</v>
      </c>
    </row>
    <row r="455" spans="1:12">
      <c r="A455" s="64">
        <v>455</v>
      </c>
      <c r="B455" s="61" t="s">
        <v>490</v>
      </c>
      <c r="C455" s="61" t="s">
        <v>496</v>
      </c>
      <c r="D455" s="58" t="s">
        <v>120</v>
      </c>
      <c r="E455" s="58" t="s">
        <v>44</v>
      </c>
      <c r="F455" s="58" t="s">
        <v>494</v>
      </c>
      <c r="G455" s="61"/>
      <c r="H455" s="61"/>
      <c r="I455" s="58"/>
      <c r="J455" s="61"/>
      <c r="K455" s="85"/>
      <c r="L455" s="2" t="s">
        <v>18</v>
      </c>
    </row>
    <row r="456" spans="1:12">
      <c r="A456" s="63">
        <v>456</v>
      </c>
      <c r="B456" s="59" t="s">
        <v>490</v>
      </c>
      <c r="C456" s="59" t="s">
        <v>496</v>
      </c>
      <c r="D456" s="60" t="s">
        <v>120</v>
      </c>
      <c r="E456" s="60" t="s">
        <v>44</v>
      </c>
      <c r="F456" s="60" t="s">
        <v>494</v>
      </c>
      <c r="G456" s="59"/>
      <c r="H456" s="59"/>
      <c r="I456" s="60"/>
      <c r="J456" s="59"/>
      <c r="K456" s="84"/>
      <c r="L456" s="2" t="s">
        <v>18</v>
      </c>
    </row>
    <row r="457" spans="1:12">
      <c r="A457" s="64">
        <v>457</v>
      </c>
      <c r="B457" s="61" t="s">
        <v>490</v>
      </c>
      <c r="C457" s="61" t="s">
        <v>496</v>
      </c>
      <c r="D457" s="58" t="s">
        <v>120</v>
      </c>
      <c r="E457" s="58" t="s">
        <v>44</v>
      </c>
      <c r="F457" s="58" t="s">
        <v>494</v>
      </c>
      <c r="G457" s="61"/>
      <c r="H457" s="61"/>
      <c r="I457" s="58"/>
      <c r="J457" s="61"/>
      <c r="K457" s="85"/>
      <c r="L457" s="2" t="s">
        <v>18</v>
      </c>
    </row>
    <row r="458" spans="1:12">
      <c r="A458" s="63">
        <v>458</v>
      </c>
      <c r="B458" s="59" t="s">
        <v>490</v>
      </c>
      <c r="C458" s="59" t="s">
        <v>496</v>
      </c>
      <c r="D458" s="60" t="s">
        <v>120</v>
      </c>
      <c r="E458" s="60" t="s">
        <v>44</v>
      </c>
      <c r="F458" s="60" t="s">
        <v>494</v>
      </c>
      <c r="G458" s="59"/>
      <c r="H458" s="59"/>
      <c r="I458" s="60"/>
      <c r="J458" s="59"/>
      <c r="K458" s="84"/>
      <c r="L458" s="2" t="s">
        <v>18</v>
      </c>
    </row>
    <row r="459" spans="1:12">
      <c r="A459" s="64">
        <v>459</v>
      </c>
      <c r="B459" s="61" t="s">
        <v>490</v>
      </c>
      <c r="C459" s="61" t="s">
        <v>496</v>
      </c>
      <c r="D459" s="58" t="s">
        <v>120</v>
      </c>
      <c r="E459" s="58" t="s">
        <v>60</v>
      </c>
      <c r="F459" s="58" t="s">
        <v>497</v>
      </c>
      <c r="G459" s="61"/>
      <c r="H459" s="61"/>
      <c r="I459" s="58"/>
      <c r="J459" s="61"/>
      <c r="K459" s="85"/>
      <c r="L459" s="2" t="s">
        <v>18</v>
      </c>
    </row>
    <row r="460" spans="1:12">
      <c r="A460" s="63">
        <v>460</v>
      </c>
      <c r="B460" s="59" t="s">
        <v>490</v>
      </c>
      <c r="C460" s="59" t="s">
        <v>496</v>
      </c>
      <c r="D460" s="60" t="s">
        <v>120</v>
      </c>
      <c r="E460" s="60" t="s">
        <v>60</v>
      </c>
      <c r="F460" s="60" t="s">
        <v>497</v>
      </c>
      <c r="G460" s="59"/>
      <c r="H460" s="59"/>
      <c r="I460" s="60"/>
      <c r="J460" s="59"/>
      <c r="K460" s="84"/>
      <c r="L460" s="2" t="s">
        <v>18</v>
      </c>
    </row>
    <row r="461" spans="1:12">
      <c r="A461" s="64">
        <v>461</v>
      </c>
      <c r="B461" s="61" t="s">
        <v>490</v>
      </c>
      <c r="C461" s="61" t="s">
        <v>496</v>
      </c>
      <c r="D461" s="58" t="s">
        <v>120</v>
      </c>
      <c r="E461" s="58" t="s">
        <v>60</v>
      </c>
      <c r="F461" s="58" t="s">
        <v>497</v>
      </c>
      <c r="G461" s="61"/>
      <c r="H461" s="61"/>
      <c r="I461" s="58"/>
      <c r="J461" s="61"/>
      <c r="K461" s="85"/>
      <c r="L461" s="2" t="s">
        <v>18</v>
      </c>
    </row>
    <row r="462" spans="1:12">
      <c r="A462" s="63">
        <v>462</v>
      </c>
      <c r="B462" s="59" t="s">
        <v>490</v>
      </c>
      <c r="C462" s="59" t="s">
        <v>496</v>
      </c>
      <c r="D462" s="60" t="s">
        <v>120</v>
      </c>
      <c r="E462" s="60" t="s">
        <v>60</v>
      </c>
      <c r="F462" s="60" t="s">
        <v>497</v>
      </c>
      <c r="G462" s="59"/>
      <c r="H462" s="59"/>
      <c r="I462" s="60"/>
      <c r="J462" s="59"/>
      <c r="K462" s="84"/>
      <c r="L462" s="2" t="s">
        <v>18</v>
      </c>
    </row>
    <row r="463" spans="1:12">
      <c r="A463" s="64">
        <v>463</v>
      </c>
      <c r="B463" s="61" t="s">
        <v>490</v>
      </c>
      <c r="C463" s="61" t="s">
        <v>496</v>
      </c>
      <c r="D463" s="58" t="s">
        <v>120</v>
      </c>
      <c r="E463" s="58" t="s">
        <v>60</v>
      </c>
      <c r="F463" s="58" t="s">
        <v>497</v>
      </c>
      <c r="G463" s="61"/>
      <c r="H463" s="61"/>
      <c r="I463" s="58"/>
      <c r="J463" s="61"/>
      <c r="K463" s="85"/>
      <c r="L463" s="2" t="s">
        <v>18</v>
      </c>
    </row>
    <row r="464" spans="1:12">
      <c r="A464" s="63">
        <v>464</v>
      </c>
      <c r="B464" s="59" t="s">
        <v>490</v>
      </c>
      <c r="C464" s="59" t="s">
        <v>496</v>
      </c>
      <c r="D464" s="60" t="s">
        <v>120</v>
      </c>
      <c r="E464" s="60" t="s">
        <v>60</v>
      </c>
      <c r="F464" s="60" t="s">
        <v>497</v>
      </c>
      <c r="G464" s="59"/>
      <c r="H464" s="59"/>
      <c r="I464" s="60"/>
      <c r="J464" s="59"/>
      <c r="K464" s="84"/>
      <c r="L464" s="2" t="s">
        <v>18</v>
      </c>
    </row>
    <row r="465" spans="1:12">
      <c r="A465" s="64">
        <v>465</v>
      </c>
      <c r="B465" s="61" t="s">
        <v>490</v>
      </c>
      <c r="C465" s="61" t="s">
        <v>496</v>
      </c>
      <c r="D465" s="58" t="s">
        <v>120</v>
      </c>
      <c r="E465" s="58" t="s">
        <v>60</v>
      </c>
      <c r="F465" s="58" t="s">
        <v>497</v>
      </c>
      <c r="G465" s="61"/>
      <c r="H465" s="61"/>
      <c r="I465" s="58"/>
      <c r="J465" s="61"/>
      <c r="K465" s="85"/>
      <c r="L465" s="2" t="s">
        <v>18</v>
      </c>
    </row>
    <row r="466" spans="1:12">
      <c r="A466" s="63">
        <v>466</v>
      </c>
      <c r="B466" s="59" t="s">
        <v>490</v>
      </c>
      <c r="C466" s="59" t="s">
        <v>496</v>
      </c>
      <c r="D466" s="60" t="s">
        <v>120</v>
      </c>
      <c r="E466" s="60" t="s">
        <v>71</v>
      </c>
      <c r="F466" s="60"/>
      <c r="G466" s="59"/>
      <c r="H466" s="59"/>
      <c r="I466" s="60"/>
      <c r="J466" s="59"/>
      <c r="K466" s="84"/>
      <c r="L466" s="2" t="s">
        <v>18</v>
      </c>
    </row>
    <row r="467" spans="1:12">
      <c r="A467" s="64">
        <v>467</v>
      </c>
      <c r="B467" s="61" t="s">
        <v>490</v>
      </c>
      <c r="C467" s="61" t="s">
        <v>496</v>
      </c>
      <c r="D467" s="58" t="s">
        <v>120</v>
      </c>
      <c r="E467" s="58" t="s">
        <v>71</v>
      </c>
      <c r="F467" s="58"/>
      <c r="G467" s="61"/>
      <c r="H467" s="61"/>
      <c r="I467" s="58"/>
      <c r="J467" s="61"/>
      <c r="K467" s="85"/>
      <c r="L467" s="2" t="s">
        <v>18</v>
      </c>
    </row>
    <row r="468" spans="1:12">
      <c r="A468" s="63">
        <v>468</v>
      </c>
      <c r="B468" s="59" t="s">
        <v>490</v>
      </c>
      <c r="C468" s="59" t="s">
        <v>496</v>
      </c>
      <c r="D468" s="60" t="s">
        <v>120</v>
      </c>
      <c r="E468" s="60" t="s">
        <v>71</v>
      </c>
      <c r="F468" s="60"/>
      <c r="G468" s="59"/>
      <c r="H468" s="59"/>
      <c r="I468" s="60"/>
      <c r="J468" s="59"/>
      <c r="K468" s="84"/>
      <c r="L468" s="2" t="s">
        <v>18</v>
      </c>
    </row>
    <row r="469" spans="1:12">
      <c r="A469" s="64">
        <v>469</v>
      </c>
      <c r="B469" s="61" t="s">
        <v>490</v>
      </c>
      <c r="C469" s="61" t="s">
        <v>496</v>
      </c>
      <c r="D469" s="58" t="s">
        <v>120</v>
      </c>
      <c r="E469" s="58" t="s">
        <v>71</v>
      </c>
      <c r="F469" s="58"/>
      <c r="G469" s="61"/>
      <c r="H469" s="61"/>
      <c r="I469" s="58"/>
      <c r="J469" s="61"/>
      <c r="K469" s="85"/>
      <c r="L469" s="2" t="s">
        <v>18</v>
      </c>
    </row>
    <row r="470" spans="1:12">
      <c r="A470" s="63">
        <v>470</v>
      </c>
      <c r="B470" s="59" t="s">
        <v>490</v>
      </c>
      <c r="C470" s="59" t="s">
        <v>496</v>
      </c>
      <c r="D470" s="60" t="s">
        <v>120</v>
      </c>
      <c r="E470" s="60" t="s">
        <v>71</v>
      </c>
      <c r="F470" s="60"/>
      <c r="G470" s="59"/>
      <c r="H470" s="59"/>
      <c r="I470" s="60"/>
      <c r="J470" s="59"/>
      <c r="K470" s="84"/>
      <c r="L470" s="2" t="s">
        <v>18</v>
      </c>
    </row>
    <row r="471" spans="1:12">
      <c r="A471" s="64">
        <v>471</v>
      </c>
      <c r="B471" s="61" t="s">
        <v>490</v>
      </c>
      <c r="C471" s="61" t="s">
        <v>496</v>
      </c>
      <c r="D471" s="58" t="s">
        <v>120</v>
      </c>
      <c r="E471" s="58" t="s">
        <v>71</v>
      </c>
      <c r="F471" s="58"/>
      <c r="G471" s="61"/>
      <c r="H471" s="61"/>
      <c r="I471" s="58"/>
      <c r="J471" s="61"/>
      <c r="K471" s="85"/>
      <c r="L471" s="2" t="s">
        <v>18</v>
      </c>
    </row>
    <row r="472" spans="1:12">
      <c r="A472" s="63">
        <v>472</v>
      </c>
      <c r="B472" s="59" t="s">
        <v>490</v>
      </c>
      <c r="C472" s="59" t="s">
        <v>496</v>
      </c>
      <c r="D472" s="60" t="s">
        <v>120</v>
      </c>
      <c r="E472" s="60" t="s">
        <v>71</v>
      </c>
      <c r="F472" s="60"/>
      <c r="G472" s="59"/>
      <c r="H472" s="59"/>
      <c r="I472" s="60"/>
      <c r="J472" s="59"/>
      <c r="K472" s="84"/>
      <c r="L472" s="2" t="s">
        <v>18</v>
      </c>
    </row>
    <row r="473" spans="1:12">
      <c r="A473" s="64">
        <v>473</v>
      </c>
      <c r="B473" s="61" t="s">
        <v>490</v>
      </c>
      <c r="C473" s="61" t="s">
        <v>496</v>
      </c>
      <c r="D473" s="58" t="s">
        <v>120</v>
      </c>
      <c r="E473" s="58" t="s">
        <v>71</v>
      </c>
      <c r="F473" s="58"/>
      <c r="G473" s="61"/>
      <c r="H473" s="61"/>
      <c r="I473" s="58"/>
      <c r="J473" s="61"/>
      <c r="K473" s="85"/>
      <c r="L473" s="2" t="s">
        <v>18</v>
      </c>
    </row>
    <row r="474" spans="1:12">
      <c r="A474" s="63">
        <v>474</v>
      </c>
      <c r="B474" s="59" t="s">
        <v>490</v>
      </c>
      <c r="C474" s="59" t="s">
        <v>496</v>
      </c>
      <c r="D474" s="60" t="s">
        <v>120</v>
      </c>
      <c r="E474" s="60" t="s">
        <v>172</v>
      </c>
      <c r="F474" s="60" t="s">
        <v>498</v>
      </c>
      <c r="G474" s="59"/>
      <c r="H474" s="59"/>
      <c r="I474" s="60"/>
      <c r="J474" s="59"/>
      <c r="K474" s="84"/>
      <c r="L474" s="2" t="s">
        <v>18</v>
      </c>
    </row>
    <row r="475" spans="1:12">
      <c r="A475" s="64">
        <v>475</v>
      </c>
      <c r="B475" s="61" t="s">
        <v>490</v>
      </c>
      <c r="C475" s="61" t="s">
        <v>496</v>
      </c>
      <c r="D475" s="58" t="s">
        <v>120</v>
      </c>
      <c r="E475" s="58" t="s">
        <v>172</v>
      </c>
      <c r="F475" s="58" t="s">
        <v>498</v>
      </c>
      <c r="G475" s="61"/>
      <c r="H475" s="61"/>
      <c r="I475" s="58"/>
      <c r="J475" s="61"/>
      <c r="K475" s="85"/>
      <c r="L475" s="2" t="s">
        <v>18</v>
      </c>
    </row>
    <row r="476" spans="1:12">
      <c r="A476" s="63">
        <v>476</v>
      </c>
      <c r="B476" s="59" t="s">
        <v>490</v>
      </c>
      <c r="C476" s="59" t="s">
        <v>496</v>
      </c>
      <c r="D476" s="60" t="s">
        <v>120</v>
      </c>
      <c r="E476" s="60" t="s">
        <v>172</v>
      </c>
      <c r="F476" s="60" t="s">
        <v>498</v>
      </c>
      <c r="G476" s="59"/>
      <c r="H476" s="59"/>
      <c r="I476" s="60"/>
      <c r="J476" s="59"/>
      <c r="K476" s="84"/>
      <c r="L476" s="2" t="s">
        <v>18</v>
      </c>
    </row>
    <row r="477" spans="1:12">
      <c r="A477" s="64">
        <v>477</v>
      </c>
      <c r="B477" s="61" t="s">
        <v>490</v>
      </c>
      <c r="C477" s="61" t="s">
        <v>496</v>
      </c>
      <c r="D477" s="58" t="s">
        <v>120</v>
      </c>
      <c r="E477" s="58" t="s">
        <v>172</v>
      </c>
      <c r="F477" s="58" t="s">
        <v>498</v>
      </c>
      <c r="G477" s="61"/>
      <c r="H477" s="61"/>
      <c r="I477" s="58"/>
      <c r="J477" s="61"/>
      <c r="K477" s="85"/>
      <c r="L477" s="2" t="s">
        <v>18</v>
      </c>
    </row>
    <row r="478" spans="1:12">
      <c r="A478" s="63">
        <v>478</v>
      </c>
      <c r="B478" s="59" t="s">
        <v>490</v>
      </c>
      <c r="C478" s="59" t="s">
        <v>496</v>
      </c>
      <c r="D478" s="60" t="s">
        <v>120</v>
      </c>
      <c r="E478" s="60" t="s">
        <v>172</v>
      </c>
      <c r="F478" s="60" t="s">
        <v>498</v>
      </c>
      <c r="G478" s="59"/>
      <c r="H478" s="59"/>
      <c r="I478" s="60"/>
      <c r="J478" s="59"/>
      <c r="K478" s="84"/>
      <c r="L478" s="2" t="s">
        <v>18</v>
      </c>
    </row>
    <row r="479" spans="1:12">
      <c r="A479" s="64">
        <v>479</v>
      </c>
      <c r="B479" s="61" t="s">
        <v>490</v>
      </c>
      <c r="C479" s="61" t="s">
        <v>496</v>
      </c>
      <c r="D479" s="58" t="s">
        <v>120</v>
      </c>
      <c r="E479" s="58" t="s">
        <v>172</v>
      </c>
      <c r="F479" s="58" t="s">
        <v>498</v>
      </c>
      <c r="G479" s="61"/>
      <c r="H479" s="61"/>
      <c r="I479" s="58"/>
      <c r="J479" s="61"/>
      <c r="K479" s="85"/>
      <c r="L479" s="2" t="s">
        <v>18</v>
      </c>
    </row>
    <row r="480" spans="1:12">
      <c r="A480" s="63">
        <v>480</v>
      </c>
      <c r="B480" s="59" t="s">
        <v>490</v>
      </c>
      <c r="C480" s="59" t="s">
        <v>496</v>
      </c>
      <c r="D480" s="60" t="s">
        <v>120</v>
      </c>
      <c r="E480" s="60" t="s">
        <v>172</v>
      </c>
      <c r="F480" s="60" t="s">
        <v>498</v>
      </c>
      <c r="G480" s="59"/>
      <c r="H480" s="59"/>
      <c r="I480" s="60"/>
      <c r="J480" s="59"/>
      <c r="K480" s="84"/>
      <c r="L480" s="2" t="s">
        <v>18</v>
      </c>
    </row>
    <row r="481" spans="1:12">
      <c r="A481" s="64">
        <v>481</v>
      </c>
      <c r="B481" s="61" t="s">
        <v>490</v>
      </c>
      <c r="C481" s="61" t="s">
        <v>496</v>
      </c>
      <c r="D481" s="58" t="s">
        <v>120</v>
      </c>
      <c r="E481" s="58" t="s">
        <v>172</v>
      </c>
      <c r="F481" s="58" t="s">
        <v>498</v>
      </c>
      <c r="G481" s="61"/>
      <c r="H481" s="61"/>
      <c r="I481" s="58"/>
      <c r="J481" s="61"/>
      <c r="K481" s="85"/>
      <c r="L481" s="2" t="s">
        <v>18</v>
      </c>
    </row>
    <row r="482" spans="1:12">
      <c r="A482" s="63">
        <v>482</v>
      </c>
      <c r="B482" s="59" t="s">
        <v>490</v>
      </c>
      <c r="C482" s="59" t="s">
        <v>496</v>
      </c>
      <c r="D482" s="60" t="s">
        <v>120</v>
      </c>
      <c r="E482" s="60" t="s">
        <v>76</v>
      </c>
      <c r="F482" s="60" t="s">
        <v>499</v>
      </c>
      <c r="G482" s="59"/>
      <c r="H482" s="59"/>
      <c r="I482" s="60"/>
      <c r="J482" s="59"/>
      <c r="K482" s="84"/>
      <c r="L482" s="2" t="s">
        <v>18</v>
      </c>
    </row>
    <row r="483" spans="1:12">
      <c r="A483" s="64">
        <v>483</v>
      </c>
      <c r="B483" s="61" t="s">
        <v>490</v>
      </c>
      <c r="C483" s="61" t="s">
        <v>496</v>
      </c>
      <c r="D483" s="58" t="s">
        <v>120</v>
      </c>
      <c r="E483" s="58" t="s">
        <v>76</v>
      </c>
      <c r="F483" s="58" t="s">
        <v>499</v>
      </c>
      <c r="G483" s="61"/>
      <c r="H483" s="61"/>
      <c r="I483" s="58"/>
      <c r="J483" s="61"/>
      <c r="K483" s="85"/>
      <c r="L483" s="2" t="s">
        <v>18</v>
      </c>
    </row>
    <row r="484" spans="1:12">
      <c r="A484" s="63">
        <v>484</v>
      </c>
      <c r="B484" s="59" t="s">
        <v>490</v>
      </c>
      <c r="C484" s="59" t="s">
        <v>496</v>
      </c>
      <c r="D484" s="60" t="s">
        <v>120</v>
      </c>
      <c r="E484" s="60" t="s">
        <v>76</v>
      </c>
      <c r="F484" s="60" t="s">
        <v>499</v>
      </c>
      <c r="G484" s="59"/>
      <c r="H484" s="59"/>
      <c r="I484" s="60"/>
      <c r="J484" s="59"/>
      <c r="K484" s="84"/>
      <c r="L484" s="2" t="s">
        <v>18</v>
      </c>
    </row>
    <row r="485" spans="1:12">
      <c r="A485" s="64">
        <v>485</v>
      </c>
      <c r="B485" s="61" t="s">
        <v>490</v>
      </c>
      <c r="C485" s="61" t="s">
        <v>496</v>
      </c>
      <c r="D485" s="58" t="s">
        <v>120</v>
      </c>
      <c r="E485" s="58" t="s">
        <v>76</v>
      </c>
      <c r="F485" s="58" t="s">
        <v>499</v>
      </c>
      <c r="G485" s="61"/>
      <c r="H485" s="61"/>
      <c r="I485" s="58"/>
      <c r="J485" s="61"/>
      <c r="K485" s="85"/>
      <c r="L485" s="2" t="s">
        <v>18</v>
      </c>
    </row>
    <row r="486" spans="1:12">
      <c r="A486" s="63">
        <v>486</v>
      </c>
      <c r="B486" s="59" t="s">
        <v>490</v>
      </c>
      <c r="C486" s="59" t="s">
        <v>496</v>
      </c>
      <c r="D486" s="60" t="s">
        <v>120</v>
      </c>
      <c r="E486" s="60" t="s">
        <v>76</v>
      </c>
      <c r="F486" s="60" t="s">
        <v>499</v>
      </c>
      <c r="G486" s="59"/>
      <c r="H486" s="59"/>
      <c r="I486" s="60"/>
      <c r="J486" s="59"/>
      <c r="K486" s="84"/>
      <c r="L486" s="2" t="s">
        <v>18</v>
      </c>
    </row>
    <row r="487" spans="1:12">
      <c r="A487" s="64">
        <v>487</v>
      </c>
      <c r="B487" s="61" t="s">
        <v>490</v>
      </c>
      <c r="C487" s="61" t="s">
        <v>496</v>
      </c>
      <c r="D487" s="58" t="s">
        <v>120</v>
      </c>
      <c r="E487" s="58" t="s">
        <v>76</v>
      </c>
      <c r="F487" s="58" t="s">
        <v>499</v>
      </c>
      <c r="G487" s="61"/>
      <c r="H487" s="61"/>
      <c r="I487" s="58"/>
      <c r="J487" s="61"/>
      <c r="K487" s="85"/>
      <c r="L487" s="2" t="s">
        <v>18</v>
      </c>
    </row>
    <row r="488" spans="1:12">
      <c r="A488" s="63">
        <v>488</v>
      </c>
      <c r="B488" s="59" t="s">
        <v>490</v>
      </c>
      <c r="C488" s="59" t="s">
        <v>496</v>
      </c>
      <c r="D488" s="60" t="s">
        <v>120</v>
      </c>
      <c r="E488" s="60" t="s">
        <v>76</v>
      </c>
      <c r="F488" s="60" t="s">
        <v>499</v>
      </c>
      <c r="G488" s="59"/>
      <c r="H488" s="59"/>
      <c r="I488" s="60"/>
      <c r="J488" s="59"/>
      <c r="K488" s="84"/>
      <c r="L488" s="2" t="s">
        <v>18</v>
      </c>
    </row>
    <row r="489" spans="1:12">
      <c r="A489" s="64">
        <v>489</v>
      </c>
      <c r="B489" s="61" t="s">
        <v>490</v>
      </c>
      <c r="C489" s="61" t="s">
        <v>496</v>
      </c>
      <c r="D489" s="58" t="s">
        <v>120</v>
      </c>
      <c r="E489" s="58" t="s">
        <v>495</v>
      </c>
      <c r="F489" s="58"/>
      <c r="G489" s="61"/>
      <c r="H489" s="61"/>
      <c r="I489" s="58"/>
      <c r="J489" s="61"/>
      <c r="K489" s="85"/>
      <c r="L489" s="2" t="s">
        <v>18</v>
      </c>
    </row>
    <row r="490" spans="1:12">
      <c r="A490" s="63">
        <v>490</v>
      </c>
      <c r="B490" s="59" t="s">
        <v>490</v>
      </c>
      <c r="C490" s="59" t="s">
        <v>496</v>
      </c>
      <c r="D490" s="60" t="s">
        <v>120</v>
      </c>
      <c r="E490" s="60" t="s">
        <v>495</v>
      </c>
      <c r="F490" s="60"/>
      <c r="G490" s="59"/>
      <c r="H490" s="59"/>
      <c r="I490" s="60"/>
      <c r="J490" s="59"/>
      <c r="K490" s="84"/>
      <c r="L490" s="2" t="s">
        <v>18</v>
      </c>
    </row>
    <row r="491" spans="1:12">
      <c r="A491" s="64">
        <v>491</v>
      </c>
      <c r="B491" s="61" t="s">
        <v>490</v>
      </c>
      <c r="C491" s="61" t="s">
        <v>496</v>
      </c>
      <c r="D491" s="58" t="s">
        <v>120</v>
      </c>
      <c r="E491" s="58" t="s">
        <v>495</v>
      </c>
      <c r="F491" s="58"/>
      <c r="G491" s="61"/>
      <c r="H491" s="61"/>
      <c r="I491" s="58"/>
      <c r="J491" s="61"/>
      <c r="K491" s="85"/>
      <c r="L491" s="2" t="s">
        <v>18</v>
      </c>
    </row>
    <row r="492" spans="1:12">
      <c r="A492" s="63">
        <v>492</v>
      </c>
      <c r="B492" s="59" t="s">
        <v>490</v>
      </c>
      <c r="C492" s="59" t="s">
        <v>496</v>
      </c>
      <c r="D492" s="60" t="s">
        <v>120</v>
      </c>
      <c r="E492" s="60" t="s">
        <v>60</v>
      </c>
      <c r="F492" s="60" t="s">
        <v>500</v>
      </c>
      <c r="G492" s="59"/>
      <c r="H492" s="59"/>
      <c r="I492" s="60"/>
      <c r="J492" s="59"/>
      <c r="K492" s="84"/>
      <c r="L492" s="2" t="s">
        <v>18</v>
      </c>
    </row>
    <row r="493" spans="1:12">
      <c r="A493" s="64">
        <v>493</v>
      </c>
      <c r="B493" s="61" t="s">
        <v>490</v>
      </c>
      <c r="C493" s="61" t="s">
        <v>496</v>
      </c>
      <c r="D493" s="58" t="s">
        <v>120</v>
      </c>
      <c r="E493" s="58" t="s">
        <v>60</v>
      </c>
      <c r="F493" s="58" t="s">
        <v>500</v>
      </c>
      <c r="G493" s="61"/>
      <c r="H493" s="61"/>
      <c r="I493" s="58"/>
      <c r="J493" s="61"/>
      <c r="K493" s="85"/>
      <c r="L493" s="2" t="s">
        <v>18</v>
      </c>
    </row>
    <row r="494" spans="1:12">
      <c r="A494" s="63">
        <v>494</v>
      </c>
      <c r="B494" s="59" t="s">
        <v>490</v>
      </c>
      <c r="C494" s="59" t="s">
        <v>496</v>
      </c>
      <c r="D494" s="60" t="s">
        <v>120</v>
      </c>
      <c r="E494" s="60" t="s">
        <v>60</v>
      </c>
      <c r="F494" s="60" t="s">
        <v>500</v>
      </c>
      <c r="G494" s="59"/>
      <c r="H494" s="59"/>
      <c r="I494" s="60"/>
      <c r="J494" s="59"/>
      <c r="K494" s="84"/>
      <c r="L494" s="2" t="s">
        <v>18</v>
      </c>
    </row>
    <row r="495" spans="1:12">
      <c r="A495" s="64">
        <v>495</v>
      </c>
      <c r="B495" s="61" t="s">
        <v>490</v>
      </c>
      <c r="C495" s="61" t="s">
        <v>491</v>
      </c>
      <c r="D495" s="58" t="s">
        <v>120</v>
      </c>
      <c r="E495" s="58" t="s">
        <v>41</v>
      </c>
      <c r="F495" s="58" t="s">
        <v>501</v>
      </c>
      <c r="G495" s="61"/>
      <c r="H495" s="61"/>
      <c r="I495" s="58"/>
      <c r="J495" s="61"/>
      <c r="K495" s="85"/>
      <c r="L495" s="2" t="s">
        <v>18</v>
      </c>
    </row>
    <row r="496" spans="1:12">
      <c r="A496" s="63">
        <v>496</v>
      </c>
      <c r="B496" s="59" t="s">
        <v>490</v>
      </c>
      <c r="C496" s="59" t="s">
        <v>496</v>
      </c>
      <c r="D496" s="60" t="s">
        <v>120</v>
      </c>
      <c r="E496" s="60" t="s">
        <v>41</v>
      </c>
      <c r="F496" s="60" t="s">
        <v>501</v>
      </c>
      <c r="G496" s="59"/>
      <c r="H496" s="59"/>
      <c r="I496" s="60"/>
      <c r="J496" s="59"/>
      <c r="K496" s="84"/>
      <c r="L496" s="2" t="s">
        <v>18</v>
      </c>
    </row>
    <row r="497" spans="1:12">
      <c r="A497" s="64">
        <v>497</v>
      </c>
      <c r="B497" s="61" t="s">
        <v>490</v>
      </c>
      <c r="C497" s="61" t="s">
        <v>496</v>
      </c>
      <c r="D497" s="58" t="s">
        <v>120</v>
      </c>
      <c r="E497" s="58" t="s">
        <v>41</v>
      </c>
      <c r="F497" s="58" t="s">
        <v>501</v>
      </c>
      <c r="G497" s="61"/>
      <c r="H497" s="61"/>
      <c r="I497" s="58"/>
      <c r="J497" s="61"/>
      <c r="K497" s="85"/>
      <c r="L497" s="2" t="s">
        <v>18</v>
      </c>
    </row>
    <row r="498" spans="1:12">
      <c r="A498" s="63">
        <v>498</v>
      </c>
      <c r="B498" s="59" t="s">
        <v>490</v>
      </c>
      <c r="C498" s="59" t="s">
        <v>496</v>
      </c>
      <c r="D498" s="60" t="s">
        <v>120</v>
      </c>
      <c r="E498" s="60" t="s">
        <v>21</v>
      </c>
      <c r="F498" s="60" t="s">
        <v>502</v>
      </c>
      <c r="G498" s="59"/>
      <c r="H498" s="59"/>
      <c r="I498" s="60"/>
      <c r="J498" s="59"/>
      <c r="K498" s="84"/>
      <c r="L498" s="2" t="s">
        <v>18</v>
      </c>
    </row>
    <row r="499" spans="1:12">
      <c r="A499" s="64">
        <v>499</v>
      </c>
      <c r="B499" s="61" t="s">
        <v>490</v>
      </c>
      <c r="C499" s="61" t="s">
        <v>496</v>
      </c>
      <c r="D499" s="58" t="s">
        <v>120</v>
      </c>
      <c r="E499" s="58" t="s">
        <v>21</v>
      </c>
      <c r="F499" s="58" t="s">
        <v>502</v>
      </c>
      <c r="G499" s="61"/>
      <c r="H499" s="61"/>
      <c r="I499" s="58"/>
      <c r="J499" s="61"/>
      <c r="K499" s="85"/>
      <c r="L499" s="2" t="s">
        <v>18</v>
      </c>
    </row>
    <row r="500" spans="1:12">
      <c r="A500" s="63">
        <v>500</v>
      </c>
      <c r="B500" s="59" t="s">
        <v>490</v>
      </c>
      <c r="C500" s="59" t="s">
        <v>496</v>
      </c>
      <c r="D500" s="60" t="s">
        <v>120</v>
      </c>
      <c r="E500" s="60" t="s">
        <v>86</v>
      </c>
      <c r="F500" s="60"/>
      <c r="G500" s="59"/>
      <c r="H500" s="59"/>
      <c r="I500" s="60"/>
      <c r="J500" s="59"/>
      <c r="K500" s="84"/>
      <c r="L500" s="2" t="s">
        <v>18</v>
      </c>
    </row>
    <row r="501" spans="1:12">
      <c r="A501" s="64">
        <v>501</v>
      </c>
      <c r="B501" s="61" t="s">
        <v>490</v>
      </c>
      <c r="C501" s="61" t="s">
        <v>496</v>
      </c>
      <c r="D501" s="58" t="s">
        <v>120</v>
      </c>
      <c r="E501" s="58" t="s">
        <v>44</v>
      </c>
      <c r="F501" s="58" t="s">
        <v>503</v>
      </c>
      <c r="G501" s="61"/>
      <c r="H501" s="61"/>
      <c r="I501" s="58"/>
      <c r="J501" s="61"/>
      <c r="K501" s="85"/>
      <c r="L501" s="2" t="s">
        <v>18</v>
      </c>
    </row>
    <row r="502" spans="1:12">
      <c r="A502" s="63">
        <v>502</v>
      </c>
      <c r="B502" s="59" t="s">
        <v>490</v>
      </c>
      <c r="C502" s="59" t="s">
        <v>496</v>
      </c>
      <c r="D502" s="60" t="s">
        <v>120</v>
      </c>
      <c r="E502" s="60" t="s">
        <v>44</v>
      </c>
      <c r="F502" s="60" t="s">
        <v>503</v>
      </c>
      <c r="G502" s="59"/>
      <c r="H502" s="59"/>
      <c r="I502" s="60"/>
      <c r="J502" s="59"/>
      <c r="K502" s="84"/>
      <c r="L502" s="2" t="s">
        <v>18</v>
      </c>
    </row>
    <row r="503" spans="1:12">
      <c r="A503" s="64">
        <v>503</v>
      </c>
      <c r="B503" s="61" t="s">
        <v>490</v>
      </c>
      <c r="C503" s="61" t="s">
        <v>496</v>
      </c>
      <c r="D503" s="58" t="s">
        <v>120</v>
      </c>
      <c r="E503" s="58" t="s">
        <v>60</v>
      </c>
      <c r="F503" s="58"/>
      <c r="G503" s="61"/>
      <c r="H503" s="61"/>
      <c r="I503" s="58"/>
      <c r="J503" s="61"/>
      <c r="K503" s="85"/>
      <c r="L503" s="2" t="s">
        <v>18</v>
      </c>
    </row>
    <row r="504" spans="1:12">
      <c r="A504" s="63">
        <v>504</v>
      </c>
      <c r="B504" s="59" t="s">
        <v>490</v>
      </c>
      <c r="C504" s="59" t="s">
        <v>496</v>
      </c>
      <c r="D504" s="60" t="s">
        <v>120</v>
      </c>
      <c r="E504" s="60" t="s">
        <v>21</v>
      </c>
      <c r="F504" s="60" t="s">
        <v>504</v>
      </c>
      <c r="G504" s="59"/>
      <c r="H504" s="59"/>
      <c r="I504" s="60"/>
      <c r="J504" s="59"/>
      <c r="K504" s="84" t="s">
        <v>504</v>
      </c>
      <c r="L504" s="2" t="s">
        <v>18</v>
      </c>
    </row>
    <row r="505" spans="1:12">
      <c r="A505" s="64">
        <v>505</v>
      </c>
      <c r="B505" s="61" t="s">
        <v>490</v>
      </c>
      <c r="C505" s="61" t="s">
        <v>496</v>
      </c>
      <c r="D505" s="58" t="s">
        <v>120</v>
      </c>
      <c r="E505" s="58" t="s">
        <v>505</v>
      </c>
      <c r="F505" s="58"/>
      <c r="G505" s="61"/>
      <c r="H505" s="61"/>
      <c r="I505" s="58"/>
      <c r="J505" s="61"/>
      <c r="K505" s="85"/>
      <c r="L505" s="2" t="s">
        <v>18</v>
      </c>
    </row>
    <row r="506" spans="1:12">
      <c r="A506" s="63">
        <v>506</v>
      </c>
      <c r="B506" s="59" t="s">
        <v>490</v>
      </c>
      <c r="C506" s="59" t="s">
        <v>496</v>
      </c>
      <c r="D506" s="60" t="s">
        <v>120</v>
      </c>
      <c r="E506" s="60" t="s">
        <v>76</v>
      </c>
      <c r="F506" s="60" t="s">
        <v>77</v>
      </c>
      <c r="G506" s="59"/>
      <c r="H506" s="59"/>
      <c r="I506" s="60"/>
      <c r="J506" s="59"/>
      <c r="K506" s="84"/>
      <c r="L506" s="2" t="s">
        <v>18</v>
      </c>
    </row>
    <row r="507" spans="1:12">
      <c r="A507" s="64">
        <v>507</v>
      </c>
      <c r="B507" s="61" t="s">
        <v>490</v>
      </c>
      <c r="C507" s="61" t="s">
        <v>496</v>
      </c>
      <c r="D507" s="58" t="s">
        <v>120</v>
      </c>
      <c r="E507" s="58" t="s">
        <v>76</v>
      </c>
      <c r="F507" s="58" t="s">
        <v>506</v>
      </c>
      <c r="G507" s="61"/>
      <c r="H507" s="61"/>
      <c r="I507" s="58"/>
      <c r="J507" s="61"/>
      <c r="K507" s="85"/>
      <c r="L507" s="2" t="s">
        <v>18</v>
      </c>
    </row>
    <row r="508" spans="1:12">
      <c r="A508" s="63">
        <v>508</v>
      </c>
      <c r="B508" s="59" t="s">
        <v>507</v>
      </c>
      <c r="C508" s="59" t="s">
        <v>508</v>
      </c>
      <c r="D508" s="60" t="s">
        <v>120</v>
      </c>
      <c r="E508" s="60" t="s">
        <v>36</v>
      </c>
      <c r="F508" s="60" t="s">
        <v>509</v>
      </c>
      <c r="G508" s="59">
        <v>2019</v>
      </c>
      <c r="H508" s="59">
        <v>2020</v>
      </c>
      <c r="I508" s="60" t="s">
        <v>510</v>
      </c>
      <c r="J508" s="59" t="s">
        <v>16</v>
      </c>
      <c r="K508" s="84" t="s">
        <v>356</v>
      </c>
    </row>
    <row r="509" spans="1:12">
      <c r="A509" s="64">
        <v>509</v>
      </c>
      <c r="B509" s="61" t="s">
        <v>507</v>
      </c>
      <c r="C509" s="61" t="s">
        <v>508</v>
      </c>
      <c r="D509" s="58" t="s">
        <v>120</v>
      </c>
      <c r="E509" s="58" t="s">
        <v>13</v>
      </c>
      <c r="F509" s="58" t="s">
        <v>511</v>
      </c>
      <c r="G509" s="61">
        <v>2020</v>
      </c>
      <c r="H509" s="61">
        <v>2020</v>
      </c>
      <c r="I509" s="58" t="s">
        <v>510</v>
      </c>
      <c r="J509" s="61" t="s">
        <v>16</v>
      </c>
      <c r="K509" s="85" t="s">
        <v>475</v>
      </c>
    </row>
    <row r="510" spans="1:12">
      <c r="A510" s="63">
        <v>510</v>
      </c>
      <c r="B510" s="59" t="s">
        <v>507</v>
      </c>
      <c r="C510" s="59" t="s">
        <v>508</v>
      </c>
      <c r="D510" s="60" t="s">
        <v>120</v>
      </c>
      <c r="E510" s="60" t="s">
        <v>13</v>
      </c>
      <c r="F510" s="60" t="s">
        <v>512</v>
      </c>
      <c r="G510" s="59">
        <v>2021</v>
      </c>
      <c r="H510" s="59">
        <v>2021</v>
      </c>
      <c r="I510" s="60" t="s">
        <v>510</v>
      </c>
      <c r="J510" s="59" t="s">
        <v>16</v>
      </c>
      <c r="K510" s="84" t="s">
        <v>467</v>
      </c>
    </row>
    <row r="511" spans="1:12">
      <c r="A511" s="64">
        <v>511</v>
      </c>
      <c r="B511" s="61" t="s">
        <v>507</v>
      </c>
      <c r="C511" s="61" t="s">
        <v>508</v>
      </c>
      <c r="D511" s="58" t="s">
        <v>120</v>
      </c>
      <c r="E511" s="58" t="s">
        <v>13</v>
      </c>
      <c r="F511" s="58" t="s">
        <v>513</v>
      </c>
      <c r="G511" s="61">
        <v>2021</v>
      </c>
      <c r="H511" s="61">
        <v>2021</v>
      </c>
      <c r="I511" s="58" t="s">
        <v>510</v>
      </c>
      <c r="J511" s="61" t="s">
        <v>16</v>
      </c>
      <c r="K511" s="85" t="s">
        <v>475</v>
      </c>
    </row>
    <row r="512" spans="1:12">
      <c r="A512" s="63">
        <v>512</v>
      </c>
      <c r="B512" s="59" t="s">
        <v>507</v>
      </c>
      <c r="C512" s="59" t="s">
        <v>508</v>
      </c>
      <c r="D512" s="60" t="s">
        <v>120</v>
      </c>
      <c r="E512" s="60" t="s">
        <v>514</v>
      </c>
      <c r="F512" s="60" t="s">
        <v>515</v>
      </c>
      <c r="G512" s="59">
        <v>2021</v>
      </c>
      <c r="H512" s="59">
        <v>2021</v>
      </c>
      <c r="I512" s="60" t="s">
        <v>510</v>
      </c>
      <c r="J512" s="59" t="s">
        <v>16</v>
      </c>
      <c r="K512" s="84" t="s">
        <v>516</v>
      </c>
    </row>
    <row r="513" spans="1:12">
      <c r="A513" s="64">
        <v>513</v>
      </c>
      <c r="B513" s="61" t="s">
        <v>507</v>
      </c>
      <c r="C513" s="61" t="s">
        <v>508</v>
      </c>
      <c r="D513" s="58" t="s">
        <v>120</v>
      </c>
      <c r="E513" s="58" t="s">
        <v>13</v>
      </c>
      <c r="F513" s="58" t="s">
        <v>517</v>
      </c>
      <c r="G513" s="61">
        <v>2020</v>
      </c>
      <c r="H513" s="61">
        <v>2021</v>
      </c>
      <c r="I513" s="58" t="s">
        <v>510</v>
      </c>
      <c r="J513" s="61" t="s">
        <v>16</v>
      </c>
      <c r="K513" s="85" t="s">
        <v>518</v>
      </c>
    </row>
    <row r="514" spans="1:12">
      <c r="A514" s="63">
        <v>514</v>
      </c>
      <c r="B514" s="59" t="s">
        <v>519</v>
      </c>
      <c r="C514" s="59" t="s">
        <v>520</v>
      </c>
      <c r="D514" s="60" t="s">
        <v>120</v>
      </c>
      <c r="E514" s="60" t="s">
        <v>521</v>
      </c>
      <c r="F514" s="62" t="s">
        <v>522</v>
      </c>
      <c r="G514" s="59">
        <v>2018</v>
      </c>
      <c r="H514" s="59">
        <v>2019</v>
      </c>
      <c r="I514" s="60" t="s">
        <v>523</v>
      </c>
      <c r="J514" s="59" t="s">
        <v>524</v>
      </c>
      <c r="K514" s="84" t="s">
        <v>525</v>
      </c>
    </row>
    <row r="515" spans="1:12">
      <c r="A515" s="64">
        <v>515</v>
      </c>
      <c r="B515" s="61" t="s">
        <v>519</v>
      </c>
      <c r="C515" s="61" t="s">
        <v>520</v>
      </c>
      <c r="D515" s="58" t="s">
        <v>120</v>
      </c>
      <c r="E515" s="58" t="s">
        <v>526</v>
      </c>
      <c r="F515" s="58" t="s">
        <v>527</v>
      </c>
      <c r="G515" s="61">
        <v>2018</v>
      </c>
      <c r="H515" s="61">
        <v>2019</v>
      </c>
      <c r="I515" s="58" t="s">
        <v>523</v>
      </c>
      <c r="J515" s="61" t="s">
        <v>524</v>
      </c>
      <c r="K515" s="85" t="s">
        <v>528</v>
      </c>
    </row>
    <row r="516" spans="1:12">
      <c r="A516" s="63">
        <v>516</v>
      </c>
      <c r="B516" s="59" t="s">
        <v>519</v>
      </c>
      <c r="C516" s="59" t="s">
        <v>520</v>
      </c>
      <c r="D516" s="60" t="s">
        <v>120</v>
      </c>
      <c r="E516" s="60" t="s">
        <v>13</v>
      </c>
      <c r="F516" s="60" t="s">
        <v>529</v>
      </c>
      <c r="G516" s="59">
        <v>2018</v>
      </c>
      <c r="H516" s="59">
        <v>2018</v>
      </c>
      <c r="I516" s="60" t="s">
        <v>530</v>
      </c>
      <c r="J516" s="59" t="s">
        <v>524</v>
      </c>
      <c r="K516" s="84" t="s">
        <v>531</v>
      </c>
    </row>
    <row r="517" spans="1:12">
      <c r="A517" s="64">
        <v>517</v>
      </c>
      <c r="B517" s="61" t="s">
        <v>519</v>
      </c>
      <c r="C517" s="61" t="s">
        <v>520</v>
      </c>
      <c r="D517" s="58" t="s">
        <v>120</v>
      </c>
      <c r="E517" s="58" t="s">
        <v>532</v>
      </c>
      <c r="F517" s="58" t="s">
        <v>533</v>
      </c>
      <c r="G517" s="61">
        <v>2019</v>
      </c>
      <c r="H517" s="61">
        <v>2019</v>
      </c>
      <c r="I517" s="58" t="s">
        <v>523</v>
      </c>
      <c r="J517" s="61" t="s">
        <v>534</v>
      </c>
      <c r="K517" s="85" t="s">
        <v>535</v>
      </c>
      <c r="L517" s="3"/>
    </row>
    <row r="518" spans="1:12">
      <c r="A518" s="63">
        <v>518</v>
      </c>
      <c r="B518" s="59" t="s">
        <v>519</v>
      </c>
      <c r="C518" s="59" t="s">
        <v>520</v>
      </c>
      <c r="D518" s="60" t="s">
        <v>120</v>
      </c>
      <c r="E518" s="60" t="s">
        <v>514</v>
      </c>
      <c r="F518" s="60" t="s">
        <v>536</v>
      </c>
      <c r="G518" s="59">
        <v>2019</v>
      </c>
      <c r="H518" s="59">
        <v>2019</v>
      </c>
      <c r="I518" s="60" t="s">
        <v>537</v>
      </c>
      <c r="J518" s="59" t="s">
        <v>538</v>
      </c>
      <c r="K518" s="84" t="s">
        <v>539</v>
      </c>
    </row>
    <row r="519" spans="1:12">
      <c r="A519" s="64">
        <v>519</v>
      </c>
      <c r="B519" s="61" t="s">
        <v>519</v>
      </c>
      <c r="C519" s="61" t="s">
        <v>520</v>
      </c>
      <c r="D519" s="58" t="s">
        <v>120</v>
      </c>
      <c r="E519" s="58" t="s">
        <v>86</v>
      </c>
      <c r="F519" s="58" t="s">
        <v>540</v>
      </c>
      <c r="G519" s="61">
        <v>2019</v>
      </c>
      <c r="H519" s="61">
        <v>2020</v>
      </c>
      <c r="I519" s="58" t="s">
        <v>541</v>
      </c>
      <c r="J519" s="61" t="s">
        <v>534</v>
      </c>
      <c r="K519" s="85" t="s">
        <v>542</v>
      </c>
    </row>
    <row r="520" spans="1:12">
      <c r="A520" s="63">
        <v>520</v>
      </c>
      <c r="B520" s="59" t="s">
        <v>519</v>
      </c>
      <c r="C520" s="59" t="s">
        <v>520</v>
      </c>
      <c r="D520" s="60" t="s">
        <v>120</v>
      </c>
      <c r="E520" s="60" t="s">
        <v>86</v>
      </c>
      <c r="F520" s="60" t="s">
        <v>543</v>
      </c>
      <c r="G520" s="59">
        <v>2019</v>
      </c>
      <c r="H520" s="59">
        <v>2020</v>
      </c>
      <c r="I520" s="60" t="s">
        <v>544</v>
      </c>
      <c r="J520" s="59" t="s">
        <v>534</v>
      </c>
      <c r="K520" s="84" t="s">
        <v>545</v>
      </c>
    </row>
    <row r="521" spans="1:12">
      <c r="A521" s="64">
        <v>521</v>
      </c>
      <c r="B521" s="61" t="s">
        <v>519</v>
      </c>
      <c r="C521" s="61" t="s">
        <v>520</v>
      </c>
      <c r="D521" s="58" t="s">
        <v>120</v>
      </c>
      <c r="E521" s="58" t="s">
        <v>13</v>
      </c>
      <c r="F521" s="58" t="s">
        <v>546</v>
      </c>
      <c r="G521" s="61">
        <v>2019</v>
      </c>
      <c r="H521" s="61">
        <v>2020</v>
      </c>
      <c r="I521" s="58" t="s">
        <v>547</v>
      </c>
      <c r="J521" s="61" t="s">
        <v>548</v>
      </c>
      <c r="K521" s="85" t="s">
        <v>549</v>
      </c>
    </row>
    <row r="522" spans="1:12">
      <c r="A522" s="63">
        <v>522</v>
      </c>
      <c r="B522" s="59" t="s">
        <v>519</v>
      </c>
      <c r="C522" s="59" t="s">
        <v>520</v>
      </c>
      <c r="D522" s="60" t="s">
        <v>120</v>
      </c>
      <c r="E522" s="60" t="s">
        <v>514</v>
      </c>
      <c r="F522" s="60" t="s">
        <v>550</v>
      </c>
      <c r="G522" s="59">
        <v>2019</v>
      </c>
      <c r="H522" s="59">
        <v>2020</v>
      </c>
      <c r="I522" s="60" t="s">
        <v>547</v>
      </c>
      <c r="J522" s="59" t="s">
        <v>534</v>
      </c>
      <c r="K522" s="84" t="s">
        <v>551</v>
      </c>
    </row>
    <row r="523" spans="1:12">
      <c r="A523" s="64">
        <v>523</v>
      </c>
      <c r="B523" s="61" t="s">
        <v>519</v>
      </c>
      <c r="C523" s="61" t="s">
        <v>520</v>
      </c>
      <c r="D523" s="58" t="s">
        <v>120</v>
      </c>
      <c r="E523" s="58" t="s">
        <v>552</v>
      </c>
      <c r="F523" s="58" t="s">
        <v>553</v>
      </c>
      <c r="G523" s="61">
        <v>2020</v>
      </c>
      <c r="H523" s="61">
        <v>2020</v>
      </c>
      <c r="I523" s="58" t="s">
        <v>554</v>
      </c>
      <c r="J523" s="61" t="s">
        <v>534</v>
      </c>
      <c r="K523" s="85" t="s">
        <v>555</v>
      </c>
    </row>
    <row r="524" spans="1:12">
      <c r="A524" s="63">
        <v>524</v>
      </c>
      <c r="B524" s="59" t="s">
        <v>519</v>
      </c>
      <c r="C524" s="59" t="s">
        <v>520</v>
      </c>
      <c r="D524" s="60" t="s">
        <v>120</v>
      </c>
      <c r="E524" s="60" t="s">
        <v>526</v>
      </c>
      <c r="F524" s="60" t="s">
        <v>556</v>
      </c>
      <c r="G524" s="59">
        <v>2020</v>
      </c>
      <c r="H524" s="59">
        <v>2020</v>
      </c>
      <c r="I524" s="60" t="s">
        <v>557</v>
      </c>
      <c r="J524" s="59" t="s">
        <v>558</v>
      </c>
      <c r="K524" s="84" t="s">
        <v>559</v>
      </c>
    </row>
    <row r="525" spans="1:12">
      <c r="A525" s="64">
        <v>525</v>
      </c>
      <c r="B525" s="61" t="s">
        <v>519</v>
      </c>
      <c r="C525" s="61" t="s">
        <v>520</v>
      </c>
      <c r="D525" s="58" t="s">
        <v>120</v>
      </c>
      <c r="E525" s="58" t="s">
        <v>526</v>
      </c>
      <c r="F525" s="58" t="s">
        <v>560</v>
      </c>
      <c r="G525" s="61">
        <v>2020</v>
      </c>
      <c r="H525" s="61">
        <v>2020</v>
      </c>
      <c r="I525" s="58" t="s">
        <v>530</v>
      </c>
      <c r="J525" s="61" t="s">
        <v>534</v>
      </c>
      <c r="K525" s="85" t="s">
        <v>561</v>
      </c>
    </row>
    <row r="526" spans="1:12">
      <c r="A526" s="63">
        <v>526</v>
      </c>
      <c r="B526" s="59" t="s">
        <v>519</v>
      </c>
      <c r="C526" s="59" t="s">
        <v>520</v>
      </c>
      <c r="D526" s="60" t="s">
        <v>120</v>
      </c>
      <c r="E526" s="60" t="s">
        <v>13</v>
      </c>
      <c r="F526" s="60" t="s">
        <v>562</v>
      </c>
      <c r="G526" s="59">
        <v>2020</v>
      </c>
      <c r="H526" s="59">
        <v>2020</v>
      </c>
      <c r="I526" s="60" t="s">
        <v>523</v>
      </c>
      <c r="J526" s="59" t="s">
        <v>534</v>
      </c>
      <c r="K526" s="84" t="s">
        <v>563</v>
      </c>
    </row>
    <row r="527" spans="1:12">
      <c r="A527" s="64">
        <v>527</v>
      </c>
      <c r="B527" s="61" t="s">
        <v>519</v>
      </c>
      <c r="C527" s="61" t="s">
        <v>520</v>
      </c>
      <c r="D527" s="58" t="s">
        <v>120</v>
      </c>
      <c r="E527" s="58" t="s">
        <v>13</v>
      </c>
      <c r="F527" s="58" t="s">
        <v>564</v>
      </c>
      <c r="G527" s="61">
        <v>2020</v>
      </c>
      <c r="H527" s="61">
        <v>2021</v>
      </c>
      <c r="I527" s="58" t="s">
        <v>523</v>
      </c>
      <c r="J527" s="61" t="s">
        <v>558</v>
      </c>
      <c r="K527" s="85" t="s">
        <v>565</v>
      </c>
    </row>
    <row r="528" spans="1:12">
      <c r="A528" s="63">
        <v>528</v>
      </c>
      <c r="B528" s="59" t="s">
        <v>519</v>
      </c>
      <c r="C528" s="59" t="s">
        <v>520</v>
      </c>
      <c r="D528" s="60" t="s">
        <v>120</v>
      </c>
      <c r="E528" s="60" t="s">
        <v>21</v>
      </c>
      <c r="F528" s="60" t="s">
        <v>566</v>
      </c>
      <c r="G528" s="59">
        <v>2020</v>
      </c>
      <c r="H528" s="59">
        <v>2021</v>
      </c>
      <c r="I528" s="60" t="s">
        <v>567</v>
      </c>
      <c r="J528" s="59" t="s">
        <v>16</v>
      </c>
      <c r="K528" s="84" t="s">
        <v>458</v>
      </c>
    </row>
    <row r="529" spans="1:11">
      <c r="A529" s="64">
        <v>529</v>
      </c>
      <c r="B529" s="61" t="s">
        <v>519</v>
      </c>
      <c r="C529" s="61" t="s">
        <v>520</v>
      </c>
      <c r="D529" s="58" t="s">
        <v>120</v>
      </c>
      <c r="E529" s="58" t="s">
        <v>568</v>
      </c>
      <c r="F529" s="58" t="s">
        <v>569</v>
      </c>
      <c r="G529" s="61">
        <v>2020</v>
      </c>
      <c r="H529" s="61">
        <v>2021</v>
      </c>
      <c r="I529" s="58" t="s">
        <v>570</v>
      </c>
      <c r="J529" s="61" t="s">
        <v>16</v>
      </c>
      <c r="K529" s="85" t="s">
        <v>571</v>
      </c>
    </row>
    <row r="530" spans="1:11">
      <c r="A530" s="63">
        <v>530</v>
      </c>
      <c r="B530" s="59" t="s">
        <v>519</v>
      </c>
      <c r="C530" s="59" t="s">
        <v>520</v>
      </c>
      <c r="D530" s="60" t="s">
        <v>120</v>
      </c>
      <c r="E530" s="60" t="s">
        <v>572</v>
      </c>
      <c r="F530" s="60" t="s">
        <v>573</v>
      </c>
      <c r="G530" s="59">
        <v>2020</v>
      </c>
      <c r="H530" s="59">
        <v>2021</v>
      </c>
      <c r="I530" s="60" t="s">
        <v>574</v>
      </c>
      <c r="J530" s="59" t="s">
        <v>16</v>
      </c>
      <c r="K530" s="84" t="s">
        <v>575</v>
      </c>
    </row>
    <row r="531" spans="1:11">
      <c r="A531" s="64">
        <v>531</v>
      </c>
      <c r="B531" s="61" t="s">
        <v>519</v>
      </c>
      <c r="C531" s="61" t="s">
        <v>520</v>
      </c>
      <c r="D531" s="58" t="s">
        <v>120</v>
      </c>
      <c r="E531" s="58" t="s">
        <v>60</v>
      </c>
      <c r="F531" s="58" t="s">
        <v>576</v>
      </c>
      <c r="G531" s="61">
        <v>2021</v>
      </c>
      <c r="H531" s="61">
        <v>2021</v>
      </c>
      <c r="I531" s="58" t="s">
        <v>577</v>
      </c>
      <c r="J531" s="61" t="s">
        <v>16</v>
      </c>
      <c r="K531" s="85" t="s">
        <v>578</v>
      </c>
    </row>
    <row r="532" spans="1:11">
      <c r="A532" s="63">
        <v>532</v>
      </c>
      <c r="B532" s="59" t="s">
        <v>519</v>
      </c>
      <c r="C532" s="59" t="s">
        <v>520</v>
      </c>
      <c r="D532" s="60" t="s">
        <v>120</v>
      </c>
      <c r="E532" s="60" t="s">
        <v>579</v>
      </c>
      <c r="F532" s="60" t="s">
        <v>580</v>
      </c>
      <c r="G532" s="59">
        <v>2021</v>
      </c>
      <c r="H532" s="59">
        <v>2021</v>
      </c>
      <c r="I532" s="60" t="s">
        <v>581</v>
      </c>
      <c r="J532" s="59" t="s">
        <v>534</v>
      </c>
      <c r="K532" s="84" t="s">
        <v>582</v>
      </c>
    </row>
    <row r="533" spans="1:11">
      <c r="A533" s="64">
        <v>533</v>
      </c>
      <c r="B533" s="61" t="s">
        <v>519</v>
      </c>
      <c r="C533" s="61" t="s">
        <v>520</v>
      </c>
      <c r="D533" s="58" t="s">
        <v>120</v>
      </c>
      <c r="E533" s="58" t="s">
        <v>583</v>
      </c>
      <c r="F533" s="58" t="s">
        <v>584</v>
      </c>
      <c r="G533" s="61">
        <v>2020</v>
      </c>
      <c r="H533" s="61">
        <v>2020</v>
      </c>
      <c r="I533" s="58" t="s">
        <v>585</v>
      </c>
      <c r="J533" s="61" t="s">
        <v>558</v>
      </c>
      <c r="K533" s="85" t="s">
        <v>584</v>
      </c>
    </row>
    <row r="534" spans="1:11">
      <c r="A534" s="63">
        <v>534</v>
      </c>
      <c r="B534" s="59" t="s">
        <v>586</v>
      </c>
      <c r="C534" s="59" t="s">
        <v>587</v>
      </c>
      <c r="D534" s="60" t="s">
        <v>120</v>
      </c>
      <c r="E534" s="60" t="s">
        <v>13</v>
      </c>
      <c r="F534" s="60" t="s">
        <v>588</v>
      </c>
      <c r="G534" s="59">
        <v>2019</v>
      </c>
      <c r="H534" s="59">
        <v>2019</v>
      </c>
      <c r="I534" s="60" t="s">
        <v>589</v>
      </c>
      <c r="J534" s="59" t="s">
        <v>16</v>
      </c>
      <c r="K534" s="84" t="s">
        <v>590</v>
      </c>
    </row>
    <row r="535" spans="1:11">
      <c r="A535" s="64">
        <v>535</v>
      </c>
      <c r="B535" s="61" t="s">
        <v>586</v>
      </c>
      <c r="C535" s="61" t="s">
        <v>587</v>
      </c>
      <c r="D535" s="58" t="s">
        <v>120</v>
      </c>
      <c r="E535" s="58" t="s">
        <v>591</v>
      </c>
      <c r="F535" s="58" t="s">
        <v>592</v>
      </c>
      <c r="G535" s="61">
        <v>2019</v>
      </c>
      <c r="H535" s="61">
        <v>2020</v>
      </c>
      <c r="I535" s="58" t="s">
        <v>593</v>
      </c>
      <c r="J535" s="61" t="s">
        <v>594</v>
      </c>
      <c r="K535" s="85" t="s">
        <v>595</v>
      </c>
    </row>
    <row r="536" spans="1:11">
      <c r="A536" s="63">
        <v>536</v>
      </c>
      <c r="B536" s="59" t="s">
        <v>586</v>
      </c>
      <c r="C536" s="59" t="s">
        <v>596</v>
      </c>
      <c r="D536" s="60" t="s">
        <v>120</v>
      </c>
      <c r="E536" s="60" t="s">
        <v>13</v>
      </c>
      <c r="F536" s="60" t="s">
        <v>597</v>
      </c>
      <c r="G536" s="59">
        <v>2019</v>
      </c>
      <c r="H536" s="59">
        <v>2019</v>
      </c>
      <c r="I536" s="60" t="s">
        <v>598</v>
      </c>
      <c r="J536" s="59" t="s">
        <v>599</v>
      </c>
      <c r="K536" s="84" t="s">
        <v>600</v>
      </c>
    </row>
    <row r="537" spans="1:11">
      <c r="A537" s="64">
        <v>537</v>
      </c>
      <c r="B537" s="61" t="s">
        <v>586</v>
      </c>
      <c r="C537" s="61" t="s">
        <v>587</v>
      </c>
      <c r="D537" s="58" t="s">
        <v>120</v>
      </c>
      <c r="E537" s="58" t="s">
        <v>572</v>
      </c>
      <c r="F537" s="58" t="s">
        <v>601</v>
      </c>
      <c r="G537" s="61">
        <v>2019</v>
      </c>
      <c r="H537" s="61">
        <v>2020</v>
      </c>
      <c r="I537" s="58" t="s">
        <v>602</v>
      </c>
      <c r="J537" s="61" t="s">
        <v>603</v>
      </c>
      <c r="K537" s="85" t="s">
        <v>604</v>
      </c>
    </row>
    <row r="538" spans="1:11">
      <c r="A538" s="63">
        <v>538</v>
      </c>
      <c r="B538" s="59" t="s">
        <v>586</v>
      </c>
      <c r="C538" s="59" t="s">
        <v>587</v>
      </c>
      <c r="D538" s="60" t="s">
        <v>120</v>
      </c>
      <c r="E538" s="60" t="s">
        <v>492</v>
      </c>
      <c r="F538" s="60" t="s">
        <v>605</v>
      </c>
      <c r="G538" s="59">
        <v>2019</v>
      </c>
      <c r="H538" s="59">
        <v>2020</v>
      </c>
      <c r="I538" s="60" t="s">
        <v>602</v>
      </c>
      <c r="J538" s="59" t="s">
        <v>603</v>
      </c>
      <c r="K538" s="84" t="s">
        <v>606</v>
      </c>
    </row>
    <row r="539" spans="1:11">
      <c r="A539" s="64">
        <v>539</v>
      </c>
      <c r="B539" s="61" t="s">
        <v>586</v>
      </c>
      <c r="C539" s="61" t="s">
        <v>587</v>
      </c>
      <c r="D539" s="58" t="s">
        <v>120</v>
      </c>
      <c r="E539" s="58" t="s">
        <v>607</v>
      </c>
      <c r="F539" s="58" t="s">
        <v>608</v>
      </c>
      <c r="G539" s="61">
        <v>2018</v>
      </c>
      <c r="H539" s="61">
        <v>2021</v>
      </c>
      <c r="I539" s="58" t="s">
        <v>609</v>
      </c>
      <c r="J539" s="61" t="s">
        <v>16</v>
      </c>
      <c r="K539" s="85" t="s">
        <v>610</v>
      </c>
    </row>
    <row r="540" spans="1:11">
      <c r="A540" s="63">
        <v>540</v>
      </c>
      <c r="B540" s="59" t="s">
        <v>586</v>
      </c>
      <c r="C540" s="59" t="s">
        <v>596</v>
      </c>
      <c r="D540" s="60" t="s">
        <v>120</v>
      </c>
      <c r="E540" s="60" t="s">
        <v>13</v>
      </c>
      <c r="F540" s="60" t="s">
        <v>611</v>
      </c>
      <c r="G540" s="59">
        <v>2020</v>
      </c>
      <c r="H540" s="59">
        <v>2020</v>
      </c>
      <c r="I540" s="60" t="s">
        <v>598</v>
      </c>
      <c r="J540" s="59" t="s">
        <v>599</v>
      </c>
      <c r="K540" s="84" t="s">
        <v>612</v>
      </c>
    </row>
    <row r="541" spans="1:11">
      <c r="A541" s="64">
        <v>541</v>
      </c>
      <c r="B541" s="61" t="s">
        <v>586</v>
      </c>
      <c r="C541" s="61" t="s">
        <v>587</v>
      </c>
      <c r="D541" s="58" t="s">
        <v>120</v>
      </c>
      <c r="E541" s="58" t="s">
        <v>607</v>
      </c>
      <c r="F541" s="58" t="s">
        <v>613</v>
      </c>
      <c r="G541" s="61">
        <v>2020</v>
      </c>
      <c r="H541" s="61">
        <v>2020</v>
      </c>
      <c r="I541" s="58" t="s">
        <v>602</v>
      </c>
      <c r="J541" s="61" t="s">
        <v>614</v>
      </c>
      <c r="K541" s="85" t="s">
        <v>615</v>
      </c>
    </row>
    <row r="542" spans="1:11">
      <c r="A542" s="63">
        <v>542</v>
      </c>
      <c r="B542" s="59" t="s">
        <v>586</v>
      </c>
      <c r="C542" s="59" t="s">
        <v>587</v>
      </c>
      <c r="D542" s="60" t="s">
        <v>120</v>
      </c>
      <c r="E542" s="60" t="s">
        <v>13</v>
      </c>
      <c r="F542" s="60" t="s">
        <v>616</v>
      </c>
      <c r="G542" s="59">
        <v>2020</v>
      </c>
      <c r="H542" s="59">
        <v>2021</v>
      </c>
      <c r="I542" s="60" t="s">
        <v>617</v>
      </c>
      <c r="J542" s="59" t="s">
        <v>16</v>
      </c>
      <c r="K542" s="84" t="s">
        <v>618</v>
      </c>
    </row>
    <row r="543" spans="1:11">
      <c r="A543" s="64">
        <v>543</v>
      </c>
      <c r="B543" s="61" t="s">
        <v>586</v>
      </c>
      <c r="C543" s="61" t="s">
        <v>587</v>
      </c>
      <c r="D543" s="58" t="s">
        <v>120</v>
      </c>
      <c r="E543" s="58" t="s">
        <v>492</v>
      </c>
      <c r="F543" s="58" t="s">
        <v>619</v>
      </c>
      <c r="G543" s="61">
        <v>2020</v>
      </c>
      <c r="H543" s="61">
        <v>2021</v>
      </c>
      <c r="I543" s="58" t="s">
        <v>602</v>
      </c>
      <c r="J543" s="61" t="s">
        <v>16</v>
      </c>
      <c r="K543" s="85" t="s">
        <v>620</v>
      </c>
    </row>
    <row r="544" spans="1:11">
      <c r="A544" s="63">
        <v>544</v>
      </c>
      <c r="B544" s="59" t="s">
        <v>586</v>
      </c>
      <c r="C544" s="59" t="s">
        <v>587</v>
      </c>
      <c r="D544" s="60" t="s">
        <v>120</v>
      </c>
      <c r="E544" s="60" t="s">
        <v>607</v>
      </c>
      <c r="F544" s="60" t="s">
        <v>621</v>
      </c>
      <c r="G544" s="59">
        <v>2021</v>
      </c>
      <c r="H544" s="59" t="s">
        <v>16</v>
      </c>
      <c r="I544" s="60" t="s">
        <v>593</v>
      </c>
      <c r="J544" s="59" t="s">
        <v>16</v>
      </c>
      <c r="K544" s="84" t="s">
        <v>622</v>
      </c>
    </row>
    <row r="545" spans="1:11">
      <c r="A545" s="64">
        <v>545</v>
      </c>
      <c r="B545" s="61" t="s">
        <v>586</v>
      </c>
      <c r="C545" s="61" t="s">
        <v>587</v>
      </c>
      <c r="D545" s="58" t="s">
        <v>120</v>
      </c>
      <c r="E545" s="58" t="s">
        <v>13</v>
      </c>
      <c r="F545" s="58" t="s">
        <v>623</v>
      </c>
      <c r="G545" s="61">
        <v>2021</v>
      </c>
      <c r="H545" s="61" t="s">
        <v>16</v>
      </c>
      <c r="I545" s="58" t="s">
        <v>609</v>
      </c>
      <c r="J545" s="61" t="s">
        <v>16</v>
      </c>
      <c r="K545" s="85" t="s">
        <v>624</v>
      </c>
    </row>
    <row r="546" spans="1:11">
      <c r="A546" s="63">
        <v>546</v>
      </c>
      <c r="B546" s="59" t="s">
        <v>586</v>
      </c>
      <c r="C546" s="59" t="s">
        <v>587</v>
      </c>
      <c r="D546" s="60" t="s">
        <v>120</v>
      </c>
      <c r="E546" s="60" t="s">
        <v>492</v>
      </c>
      <c r="F546" s="60" t="s">
        <v>625</v>
      </c>
      <c r="G546" s="59">
        <v>2021</v>
      </c>
      <c r="H546" s="59" t="s">
        <v>16</v>
      </c>
      <c r="I546" s="60" t="s">
        <v>602</v>
      </c>
      <c r="J546" s="59" t="s">
        <v>16</v>
      </c>
      <c r="K546" s="84" t="s">
        <v>626</v>
      </c>
    </row>
    <row r="547" spans="1:11">
      <c r="A547" s="64">
        <v>547</v>
      </c>
      <c r="B547" s="61" t="s">
        <v>586</v>
      </c>
      <c r="C547" s="61" t="s">
        <v>587</v>
      </c>
      <c r="D547" s="58" t="s">
        <v>120</v>
      </c>
      <c r="E547" s="58" t="s">
        <v>492</v>
      </c>
      <c r="F547" s="58" t="s">
        <v>627</v>
      </c>
      <c r="G547" s="61">
        <v>2021</v>
      </c>
      <c r="H547" s="61" t="s">
        <v>16</v>
      </c>
      <c r="I547" s="58" t="s">
        <v>602</v>
      </c>
      <c r="J547" s="61" t="s">
        <v>16</v>
      </c>
      <c r="K547" s="85" t="s">
        <v>620</v>
      </c>
    </row>
    <row r="548" spans="1:11">
      <c r="A548" s="63">
        <v>548</v>
      </c>
      <c r="B548" s="59" t="s">
        <v>586</v>
      </c>
      <c r="C548" s="59" t="s">
        <v>587</v>
      </c>
      <c r="D548" s="60" t="s">
        <v>120</v>
      </c>
      <c r="E548" s="60" t="s">
        <v>628</v>
      </c>
      <c r="F548" s="60" t="s">
        <v>629</v>
      </c>
      <c r="G548" s="59">
        <v>2021</v>
      </c>
      <c r="H548" s="59" t="s">
        <v>16</v>
      </c>
      <c r="I548" s="60" t="s">
        <v>630</v>
      </c>
      <c r="J548" s="59" t="s">
        <v>16</v>
      </c>
      <c r="K548" s="84" t="s">
        <v>631</v>
      </c>
    </row>
    <row r="549" spans="1:11">
      <c r="A549" s="64">
        <v>549</v>
      </c>
      <c r="B549" s="61" t="s">
        <v>632</v>
      </c>
      <c r="C549" s="61" t="s">
        <v>633</v>
      </c>
      <c r="D549" s="58" t="s">
        <v>120</v>
      </c>
      <c r="E549" s="58" t="s">
        <v>13</v>
      </c>
      <c r="F549" s="58" t="s">
        <v>511</v>
      </c>
      <c r="G549" s="58">
        <v>2018</v>
      </c>
      <c r="H549" s="58">
        <v>2018</v>
      </c>
      <c r="I549" s="58" t="s">
        <v>630</v>
      </c>
      <c r="J549" s="58" t="s">
        <v>408</v>
      </c>
      <c r="K549" s="85" t="s">
        <v>634</v>
      </c>
    </row>
    <row r="550" spans="1:11">
      <c r="A550" s="63">
        <v>550</v>
      </c>
      <c r="B550" s="59" t="s">
        <v>635</v>
      </c>
      <c r="C550" s="59" t="s">
        <v>636</v>
      </c>
      <c r="D550" s="60" t="s">
        <v>120</v>
      </c>
      <c r="E550" s="60" t="s">
        <v>13</v>
      </c>
      <c r="F550" s="60" t="s">
        <v>511</v>
      </c>
      <c r="G550" s="60">
        <v>2018</v>
      </c>
      <c r="H550" s="60">
        <v>2018</v>
      </c>
      <c r="I550" s="60" t="s">
        <v>630</v>
      </c>
      <c r="J550" s="60" t="s">
        <v>408</v>
      </c>
      <c r="K550" s="84" t="s">
        <v>634</v>
      </c>
    </row>
    <row r="551" spans="1:11">
      <c r="A551" s="63"/>
      <c r="B551" s="59"/>
      <c r="C551" s="59"/>
      <c r="D551" s="60"/>
      <c r="E551" s="60"/>
      <c r="F551" s="60"/>
      <c r="I551" s="60"/>
      <c r="K551" s="84"/>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4469-DC5D-4FFA-B0C0-AB86DA31A1A1}">
  <dimension ref="A1:W544"/>
  <sheetViews>
    <sheetView workbookViewId="0">
      <selection activeCell="F1" sqref="F1"/>
    </sheetView>
  </sheetViews>
  <sheetFormatPr defaultColWidth="3" defaultRowHeight="13.8"/>
  <cols>
    <col min="1" max="1" width="15.77734375" style="8" bestFit="1" customWidth="1"/>
    <col min="2" max="2" width="27.5546875" style="8" bestFit="1" customWidth="1"/>
    <col min="3" max="3" width="15.77734375" style="10" bestFit="1" customWidth="1"/>
    <col min="4" max="4" width="36.21875" style="10" bestFit="1" customWidth="1"/>
    <col min="5" max="5" width="9.21875" style="8" bestFit="1" customWidth="1"/>
    <col min="6" max="6" width="19.5546875" style="10" customWidth="1"/>
    <col min="7" max="7" width="5" style="9" bestFit="1" customWidth="1"/>
    <col min="8" max="8" width="11.21875" style="9" bestFit="1" customWidth="1"/>
    <col min="9" max="9" width="18.21875" style="9" bestFit="1" customWidth="1"/>
    <col min="10" max="15" width="18.77734375" style="9" hidden="1" customWidth="1"/>
    <col min="16" max="16" width="11.21875" style="9" bestFit="1" customWidth="1"/>
    <col min="17" max="17" width="18.21875" style="9" bestFit="1" customWidth="1"/>
    <col min="18" max="18" width="16" style="9" bestFit="1" customWidth="1"/>
    <col min="19" max="19" width="18.21875" style="9" bestFit="1" customWidth="1"/>
    <col min="20" max="20" width="16" style="9" bestFit="1" customWidth="1"/>
    <col min="21" max="21" width="18.21875" style="9" bestFit="1" customWidth="1"/>
    <col min="22" max="22" width="21" style="9" bestFit="1" customWidth="1"/>
    <col min="23" max="23" width="23.21875" style="9" bestFit="1" customWidth="1"/>
    <col min="24" max="63" width="8.77734375" style="9" customWidth="1"/>
    <col min="64" max="16384" width="3" style="9"/>
  </cols>
  <sheetData>
    <row r="1" spans="1:23" s="8" customFormat="1" ht="15" thickBot="1">
      <c r="A1" s="11" t="s">
        <v>1</v>
      </c>
      <c r="B1" s="29" t="s">
        <v>637</v>
      </c>
      <c r="C1" s="12" t="s">
        <v>3</v>
      </c>
      <c r="D1" s="12" t="s">
        <v>4</v>
      </c>
      <c r="E1" s="12" t="s">
        <v>5</v>
      </c>
      <c r="F1" s="87" t="s">
        <v>638</v>
      </c>
      <c r="J1" s="8" t="str" cm="1">
        <f t="array" ref="J1:J9">_xlfn.UNIQUE(A:A)</f>
        <v>HTA body</v>
      </c>
      <c r="K1" s="8" t="str" cm="1">
        <f t="array" ref="K1:K4">_xlfn.UNIQUE(B:B)</f>
        <v>Regulatory body, if included</v>
      </c>
      <c r="L1" s="8" t="str" cm="1">
        <f t="array" ref="L1:L7">_xlfn.UNIQUE(C:C)</f>
        <v>Therapy area</v>
      </c>
      <c r="M1" s="8" t="str" cm="1">
        <f t="array" ref="M1:M11">_xlfn.UNIQUE(D:D)</f>
        <v>Indication</v>
      </c>
      <c r="N1" s="8" t="str" cm="1">
        <f t="array" ref="N1:N8">_xlfn.UNIQUE(E:E)</f>
        <v>Year</v>
      </c>
      <c r="O1" s="8" t="str" cm="1">
        <f t="array" ref="O1:O11">_xlfn.UNIQUE(F:F)</f>
        <v>Product</v>
      </c>
      <c r="Q1"/>
      <c r="R1"/>
      <c r="S1"/>
      <c r="T1"/>
      <c r="U1"/>
      <c r="V1"/>
      <c r="W1"/>
    </row>
    <row r="2" spans="1:23" ht="15" thickBot="1">
      <c r="A2" s="13" t="s">
        <v>681</v>
      </c>
      <c r="B2" s="14" t="s">
        <v>120</v>
      </c>
      <c r="C2" s="14" t="s">
        <v>71</v>
      </c>
      <c r="D2" s="14" t="s">
        <v>680</v>
      </c>
      <c r="E2" s="14">
        <v>2018</v>
      </c>
      <c r="F2" s="88" t="s">
        <v>646</v>
      </c>
      <c r="J2" s="9" t="str">
        <v>CADTH</v>
      </c>
      <c r="K2" s="9" t="str">
        <v>N/A</v>
      </c>
      <c r="L2" s="9" t="str">
        <v>Dermatology</v>
      </c>
      <c r="M2" s="9" t="str">
        <v xml:space="preserve">Atopic dermatitis </v>
      </c>
      <c r="N2" s="9">
        <v>2018</v>
      </c>
      <c r="O2" s="9" t="str">
        <v>nemolizumab</v>
      </c>
      <c r="Q2"/>
      <c r="R2"/>
      <c r="S2"/>
      <c r="T2"/>
      <c r="U2"/>
      <c r="V2"/>
      <c r="W2"/>
    </row>
    <row r="3" spans="1:23" ht="15" thickBot="1">
      <c r="A3" s="13" t="s">
        <v>187</v>
      </c>
      <c r="B3" s="14" t="s">
        <v>120</v>
      </c>
      <c r="C3" s="14" t="s">
        <v>71</v>
      </c>
      <c r="D3" s="14" t="s">
        <v>680</v>
      </c>
      <c r="E3" s="14">
        <v>2018</v>
      </c>
      <c r="F3" s="88" t="s">
        <v>646</v>
      </c>
      <c r="J3" s="9" t="str">
        <v>G-BA</v>
      </c>
      <c r="K3" s="9" t="str">
        <v xml:space="preserve">EMA’s adaptive pathway process </v>
      </c>
      <c r="L3" s="9" t="str">
        <v>Haemato-oncology</v>
      </c>
      <c r="M3" s="9" t="str">
        <v>Atopic dermatitis</v>
      </c>
      <c r="N3" s="9">
        <v>2021</v>
      </c>
      <c r="O3" s="9" t="str">
        <v>Elrinatamab</v>
      </c>
      <c r="Q3"/>
      <c r="R3"/>
      <c r="S3"/>
      <c r="T3"/>
      <c r="U3"/>
      <c r="V3"/>
      <c r="W3"/>
    </row>
    <row r="4" spans="1:23" ht="15" thickBot="1">
      <c r="A4" s="13" t="s">
        <v>645</v>
      </c>
      <c r="B4" s="14" t="s">
        <v>120</v>
      </c>
      <c r="C4" s="14" t="s">
        <v>71</v>
      </c>
      <c r="D4" s="14" t="s">
        <v>295</v>
      </c>
      <c r="E4" s="14">
        <v>2018</v>
      </c>
      <c r="F4" s="88" t="s">
        <v>646</v>
      </c>
      <c r="J4" s="9" t="str">
        <v>HAS</v>
      </c>
      <c r="K4" s="9">
        <v>0</v>
      </c>
      <c r="L4" s="9" t="str">
        <v>Nephrology</v>
      </c>
      <c r="M4" s="9" t="str">
        <v>Multiple Myeloma</v>
      </c>
      <c r="N4" s="9">
        <v>2020</v>
      </c>
      <c r="O4" s="9" t="str">
        <v>Axicabtagene ciloleucel (Yescarta®)</v>
      </c>
      <c r="Q4"/>
      <c r="R4"/>
      <c r="S4"/>
      <c r="T4"/>
      <c r="U4"/>
      <c r="V4"/>
      <c r="W4"/>
    </row>
    <row r="5" spans="1:23" ht="15" thickBot="1">
      <c r="A5" s="13" t="s">
        <v>11</v>
      </c>
      <c r="B5" s="14" t="s">
        <v>120</v>
      </c>
      <c r="C5" s="14" t="s">
        <v>71</v>
      </c>
      <c r="D5" s="14" t="s">
        <v>680</v>
      </c>
      <c r="E5" s="14">
        <v>2018</v>
      </c>
      <c r="F5" s="88" t="s">
        <v>646</v>
      </c>
      <c r="J5" s="9" t="str">
        <v>NICE</v>
      </c>
      <c r="L5" s="9" t="str">
        <v>Oncology</v>
      </c>
      <c r="M5" s="9" t="str">
        <v>Relapsed or refractory diffuse large B cell lymphoma (DLBCL) and primary mediastinal large B cell lymphoma (PMBCL), after two or more lines of systemic therapy</v>
      </c>
      <c r="N5" s="9">
        <v>2017</v>
      </c>
      <c r="O5" s="9" t="str">
        <v>VIS649</v>
      </c>
      <c r="Q5"/>
      <c r="R5"/>
      <c r="S5"/>
      <c r="T5"/>
      <c r="U5"/>
      <c r="V5"/>
      <c r="W5"/>
    </row>
    <row r="6" spans="1:23" ht="15" thickBot="1">
      <c r="A6" s="13" t="s">
        <v>187</v>
      </c>
      <c r="B6" s="14" t="s">
        <v>120</v>
      </c>
      <c r="C6" s="14" t="s">
        <v>607</v>
      </c>
      <c r="D6" s="14" t="s">
        <v>444</v>
      </c>
      <c r="E6" s="14">
        <v>2021</v>
      </c>
      <c r="F6" s="88" t="s">
        <v>639</v>
      </c>
      <c r="J6" s="9" t="str">
        <v>ZIN</v>
      </c>
      <c r="L6" s="9" t="str">
        <v xml:space="preserve">Various </v>
      </c>
      <c r="M6" s="9" t="str">
        <v>Primary IgA Nephropathy</v>
      </c>
      <c r="N6" s="9">
        <v>2019</v>
      </c>
      <c r="O6" s="9" t="str">
        <v>IMAB362 as add on to mFOLFOX6 in 1L of CLDN18.2 positive</v>
      </c>
      <c r="Q6"/>
      <c r="R6"/>
      <c r="S6"/>
      <c r="T6"/>
      <c r="U6"/>
      <c r="V6"/>
      <c r="W6"/>
    </row>
    <row r="7" spans="1:23" ht="15" thickBot="1">
      <c r="A7" s="13" t="s">
        <v>645</v>
      </c>
      <c r="B7" s="14" t="s">
        <v>120</v>
      </c>
      <c r="C7" s="14" t="s">
        <v>607</v>
      </c>
      <c r="D7" s="14" t="s">
        <v>444</v>
      </c>
      <c r="E7" s="14">
        <v>2021</v>
      </c>
      <c r="F7" s="88" t="s">
        <v>639</v>
      </c>
      <c r="J7" s="9" t="str">
        <v>EUnetHTA</v>
      </c>
      <c r="L7" s="9">
        <v>0</v>
      </c>
      <c r="M7" s="9" t="str">
        <v>HER2 negative metastatic gastric and gastroesophageal junction adenocarcinoma</v>
      </c>
      <c r="N7" s="9">
        <v>2016</v>
      </c>
      <c r="O7" s="9" t="str">
        <v>MEN1116</v>
      </c>
      <c r="Q7"/>
      <c r="R7"/>
      <c r="S7"/>
      <c r="T7"/>
      <c r="U7"/>
      <c r="V7"/>
      <c r="W7"/>
    </row>
    <row r="8" spans="1:23" ht="15" thickBot="1">
      <c r="A8" s="13" t="s">
        <v>11</v>
      </c>
      <c r="B8" s="14" t="s">
        <v>120</v>
      </c>
      <c r="C8" s="14" t="s">
        <v>607</v>
      </c>
      <c r="D8" s="14" t="s">
        <v>444</v>
      </c>
      <c r="E8" s="14">
        <v>2021</v>
      </c>
      <c r="F8" s="88" t="s">
        <v>639</v>
      </c>
      <c r="J8" s="9" t="str">
        <v>Parallel EMA / HTA</v>
      </c>
      <c r="M8" s="9" t="str">
        <v>Breast Cancer</v>
      </c>
      <c r="N8" s="9">
        <v>0</v>
      </c>
      <c r="O8" s="9" t="str">
        <v>Enfortumab vedotin</v>
      </c>
      <c r="Q8"/>
      <c r="R8"/>
      <c r="S8"/>
      <c r="T8"/>
      <c r="U8"/>
      <c r="V8"/>
      <c r="W8"/>
    </row>
    <row r="9" spans="1:23" ht="55.8" thickBot="1">
      <c r="A9" s="13" t="s">
        <v>644</v>
      </c>
      <c r="B9" s="14" t="s">
        <v>120</v>
      </c>
      <c r="C9" s="14" t="s">
        <v>607</v>
      </c>
      <c r="D9" s="14" t="s">
        <v>608</v>
      </c>
      <c r="E9" s="14">
        <v>2020</v>
      </c>
      <c r="F9" s="88" t="s">
        <v>610</v>
      </c>
      <c r="J9" s="9">
        <v>0</v>
      </c>
      <c r="M9" s="9" t="str">
        <v xml:space="preserve">First-line treatment of locally advanced or metastatic urothelial carcinoma </v>
      </c>
      <c r="O9" s="9" t="str">
        <v>PLacental eXpanded (PLX) cells</v>
      </c>
      <c r="Q9"/>
      <c r="R9"/>
      <c r="S9"/>
      <c r="T9"/>
      <c r="U9"/>
      <c r="V9"/>
      <c r="W9"/>
    </row>
    <row r="10" spans="1:23" ht="15" thickBot="1">
      <c r="A10" s="13" t="s">
        <v>645</v>
      </c>
      <c r="B10" s="14" t="s">
        <v>120</v>
      </c>
      <c r="C10" s="14" t="s">
        <v>647</v>
      </c>
      <c r="D10" s="14" t="s">
        <v>648</v>
      </c>
      <c r="E10" s="14">
        <v>2021</v>
      </c>
      <c r="F10" s="89" t="s">
        <v>649</v>
      </c>
      <c r="M10" s="9" t="str">
        <v>Somatic cell therapy</v>
      </c>
      <c r="O10" s="9">
        <v>0</v>
      </c>
      <c r="Q10"/>
      <c r="R10"/>
      <c r="S10"/>
      <c r="T10"/>
      <c r="U10"/>
      <c r="V10"/>
      <c r="W10"/>
    </row>
    <row r="11" spans="1:23" ht="42" thickBot="1">
      <c r="A11" s="13" t="s">
        <v>682</v>
      </c>
      <c r="B11" s="14" t="s">
        <v>120</v>
      </c>
      <c r="C11" s="14" t="s">
        <v>13</v>
      </c>
      <c r="D11" s="14" t="s">
        <v>683</v>
      </c>
      <c r="E11" s="14">
        <v>2017</v>
      </c>
      <c r="F11" s="88" t="s">
        <v>684</v>
      </c>
      <c r="I11"/>
      <c r="J11"/>
      <c r="K11"/>
      <c r="L11"/>
      <c r="M11">
        <v>0</v>
      </c>
      <c r="N11"/>
      <c r="O11" t="str">
        <v>Elrinatanab</v>
      </c>
      <c r="P11"/>
      <c r="Q11"/>
      <c r="R11"/>
      <c r="S11"/>
      <c r="T11"/>
      <c r="U11"/>
      <c r="V11"/>
      <c r="W11"/>
    </row>
    <row r="12" spans="1:23" ht="14.4">
      <c r="A12" s="13" t="s">
        <v>187</v>
      </c>
      <c r="B12" s="14" t="s">
        <v>120</v>
      </c>
      <c r="C12" s="14" t="s">
        <v>13</v>
      </c>
      <c r="D12" s="14" t="s">
        <v>640</v>
      </c>
      <c r="E12" s="14">
        <v>2021</v>
      </c>
      <c r="F12" s="88" t="s">
        <v>641</v>
      </c>
      <c r="I12"/>
      <c r="J12"/>
      <c r="K12"/>
      <c r="L12"/>
      <c r="M12"/>
      <c r="N12"/>
      <c r="O12"/>
      <c r="P12"/>
    </row>
    <row r="13" spans="1:23" ht="15" thickBot="1">
      <c r="A13" s="13" t="s">
        <v>11</v>
      </c>
      <c r="B13" s="14" t="s">
        <v>120</v>
      </c>
      <c r="C13" s="14" t="s">
        <v>13</v>
      </c>
      <c r="D13" s="14" t="s">
        <v>640</v>
      </c>
      <c r="E13" s="14">
        <v>2021</v>
      </c>
      <c r="F13" s="88" t="s">
        <v>641</v>
      </c>
      <c r="I13"/>
      <c r="J13"/>
      <c r="K13"/>
      <c r="L13"/>
      <c r="M13"/>
      <c r="N13"/>
      <c r="O13"/>
      <c r="P13"/>
    </row>
    <row r="14" spans="1:23" ht="28.2" thickBot="1">
      <c r="A14" s="13" t="s">
        <v>11</v>
      </c>
      <c r="B14" s="14" t="s">
        <v>120</v>
      </c>
      <c r="C14" s="14" t="s">
        <v>13</v>
      </c>
      <c r="D14" s="14" t="s">
        <v>642</v>
      </c>
      <c r="E14" s="14">
        <v>2019</v>
      </c>
      <c r="F14" s="88" t="s">
        <v>643</v>
      </c>
      <c r="I14"/>
      <c r="J14"/>
      <c r="K14"/>
      <c r="L14"/>
      <c r="M14"/>
      <c r="N14"/>
      <c r="O14"/>
      <c r="P14"/>
    </row>
    <row r="15" spans="1:23" ht="27.6">
      <c r="A15" s="15" t="s">
        <v>685</v>
      </c>
      <c r="B15" s="16" t="s">
        <v>688</v>
      </c>
      <c r="C15" s="16" t="s">
        <v>686</v>
      </c>
      <c r="D15" s="16" t="s">
        <v>687</v>
      </c>
      <c r="E15" s="16">
        <v>2016</v>
      </c>
      <c r="F15" s="90" t="s">
        <v>689</v>
      </c>
      <c r="I15"/>
      <c r="J15"/>
      <c r="K15"/>
      <c r="L15"/>
      <c r="M15"/>
      <c r="N15"/>
      <c r="O15"/>
      <c r="P15"/>
    </row>
    <row r="16" spans="1:23" ht="14.4">
      <c r="F16" s="91"/>
      <c r="I16"/>
      <c r="J16"/>
      <c r="K16"/>
      <c r="L16"/>
      <c r="M16"/>
      <c r="N16"/>
      <c r="O16"/>
      <c r="P16"/>
    </row>
    <row r="27" spans="9:16" ht="14.4">
      <c r="I27"/>
      <c r="J27"/>
      <c r="K27"/>
      <c r="L27"/>
      <c r="M27"/>
      <c r="N27"/>
      <c r="O27"/>
      <c r="P27"/>
    </row>
    <row r="28" spans="9:16" ht="14.4">
      <c r="I28"/>
      <c r="J28"/>
      <c r="K28"/>
      <c r="L28"/>
      <c r="M28"/>
      <c r="N28"/>
      <c r="O28"/>
      <c r="P28"/>
    </row>
    <row r="29" spans="9:16" ht="14.4">
      <c r="I29"/>
      <c r="J29"/>
      <c r="K29"/>
      <c r="L29"/>
      <c r="M29"/>
      <c r="N29"/>
      <c r="O29"/>
      <c r="P29"/>
    </row>
    <row r="30" spans="9:16" ht="14.4">
      <c r="I30"/>
      <c r="J30"/>
      <c r="K30"/>
      <c r="L30"/>
      <c r="M30"/>
      <c r="N30"/>
      <c r="O30"/>
      <c r="P30"/>
    </row>
    <row r="31" spans="9:16" ht="14.4">
      <c r="I31"/>
      <c r="J31"/>
      <c r="K31"/>
      <c r="L31"/>
      <c r="M31"/>
      <c r="N31"/>
      <c r="O31"/>
      <c r="P31"/>
    </row>
    <row r="32" spans="9:16" ht="14.4">
      <c r="I32"/>
      <c r="J32"/>
      <c r="K32"/>
      <c r="L32"/>
      <c r="M32"/>
      <c r="N32"/>
      <c r="O32"/>
      <c r="P32"/>
    </row>
    <row r="33" spans="9:16" ht="14.4">
      <c r="I33"/>
      <c r="J33"/>
      <c r="K33"/>
      <c r="L33"/>
      <c r="M33"/>
      <c r="N33"/>
      <c r="O33"/>
      <c r="P33"/>
    </row>
    <row r="34" spans="9:16" ht="14.4">
      <c r="I34"/>
      <c r="J34"/>
      <c r="K34"/>
      <c r="L34"/>
      <c r="M34"/>
      <c r="N34"/>
      <c r="O34"/>
      <c r="P34"/>
    </row>
    <row r="35" spans="9:16" ht="14.4">
      <c r="I35"/>
      <c r="J35"/>
      <c r="K35"/>
      <c r="L35"/>
      <c r="M35"/>
      <c r="N35"/>
      <c r="O35"/>
      <c r="P35"/>
    </row>
    <row r="36" spans="9:16" ht="14.4">
      <c r="I36"/>
      <c r="J36"/>
      <c r="K36"/>
      <c r="L36"/>
      <c r="M36"/>
      <c r="N36"/>
      <c r="O36"/>
      <c r="P36"/>
    </row>
    <row r="37" spans="9:16" ht="14.4">
      <c r="I37"/>
      <c r="J37"/>
      <c r="K37"/>
      <c r="L37"/>
      <c r="M37"/>
      <c r="N37"/>
      <c r="O37"/>
      <c r="P37"/>
    </row>
    <row r="38" spans="9:16" ht="14.4">
      <c r="I38"/>
      <c r="J38"/>
      <c r="K38"/>
      <c r="L38"/>
      <c r="M38"/>
      <c r="N38"/>
      <c r="O38"/>
      <c r="P38"/>
    </row>
    <row r="39" spans="9:16" ht="14.4">
      <c r="I39"/>
      <c r="J39"/>
      <c r="K39"/>
      <c r="L39"/>
      <c r="M39"/>
      <c r="N39"/>
      <c r="O39"/>
      <c r="P39"/>
    </row>
    <row r="40" spans="9:16" ht="14.4">
      <c r="I40"/>
      <c r="J40"/>
      <c r="K40"/>
      <c r="L40"/>
      <c r="M40"/>
      <c r="N40"/>
      <c r="O40"/>
      <c r="P40"/>
    </row>
    <row r="542" spans="1:6">
      <c r="A542" s="8" t="s">
        <v>11</v>
      </c>
      <c r="C542" s="10" t="s">
        <v>13</v>
      </c>
      <c r="D542" s="10" t="s">
        <v>444</v>
      </c>
      <c r="E542" s="8">
        <v>2021</v>
      </c>
      <c r="F542" s="10" t="s">
        <v>650</v>
      </c>
    </row>
    <row r="543" spans="1:6">
      <c r="A543" s="8" t="s">
        <v>11</v>
      </c>
      <c r="C543" s="10" t="s">
        <v>13</v>
      </c>
      <c r="D543" s="10" t="s">
        <v>214</v>
      </c>
      <c r="E543" s="8">
        <v>2021</v>
      </c>
      <c r="F543" s="10" t="s">
        <v>641</v>
      </c>
    </row>
    <row r="544" spans="1:6">
      <c r="A544" s="8" t="s">
        <v>645</v>
      </c>
      <c r="C544" s="10" t="s">
        <v>13</v>
      </c>
      <c r="D544" s="10" t="s">
        <v>214</v>
      </c>
      <c r="E544" s="8">
        <v>2021</v>
      </c>
      <c r="F544" s="10" t="s">
        <v>641</v>
      </c>
    </row>
  </sheetData>
  <pageMargins left="0.7" right="0.7" top="0.75" bottom="0.75" header="0.3" footer="0.3"/>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61343-C00C-4F90-A600-534DE7167E93}">
  <dimension ref="A1:Q80"/>
  <sheetViews>
    <sheetView tabSelected="1" zoomScaleNormal="100" workbookViewId="0">
      <selection activeCell="D1" sqref="D1:D25"/>
    </sheetView>
  </sheetViews>
  <sheetFormatPr defaultColWidth="3" defaultRowHeight="13.8"/>
  <cols>
    <col min="1" max="1" width="29" style="10" bestFit="1" customWidth="1"/>
    <col min="2" max="2" width="59.77734375" style="10" bestFit="1" customWidth="1"/>
    <col min="3" max="3" width="9.5546875" style="8" bestFit="1" customWidth="1"/>
    <col min="4" max="4" width="24.44140625" style="9" bestFit="1" customWidth="1"/>
    <col min="5" max="8" width="5" style="9" bestFit="1" customWidth="1"/>
    <col min="9" max="9" width="11.21875" style="9" bestFit="1" customWidth="1"/>
    <col min="10" max="10" width="20.77734375" style="9" hidden="1" customWidth="1"/>
    <col min="11" max="11" width="18.21875" style="9" hidden="1" customWidth="1"/>
    <col min="12" max="12" width="20.77734375" style="9" hidden="1" customWidth="1"/>
    <col min="13" max="13" width="18.21875" style="9" hidden="1" customWidth="1"/>
    <col min="14" max="14" width="20.77734375" style="9" bestFit="1" customWidth="1"/>
    <col min="15" max="15" width="18.21875" style="9" bestFit="1" customWidth="1"/>
    <col min="16" max="16" width="25.77734375" style="9" bestFit="1" customWidth="1"/>
    <col min="17" max="17" width="23.21875" style="9" bestFit="1" customWidth="1"/>
    <col min="18" max="16384" width="3" style="9"/>
  </cols>
  <sheetData>
    <row r="1" spans="1:13" s="8" customFormat="1" ht="14.4" thickBot="1">
      <c r="A1" s="30" t="s">
        <v>3</v>
      </c>
      <c r="B1" s="29" t="s">
        <v>4</v>
      </c>
      <c r="C1" s="29" t="s">
        <v>5</v>
      </c>
      <c r="D1" s="92" t="s">
        <v>638</v>
      </c>
      <c r="J1" s="8" t="str" cm="1">
        <f t="array" ref="J1:J11">_xlfn.UNIQUE(A:A)</f>
        <v>Therapy area</v>
      </c>
      <c r="K1" s="8" t="str" cm="1">
        <f t="array" ref="K1:K26">_xlfn.UNIQUE(B:B)</f>
        <v>Indication</v>
      </c>
      <c r="L1" s="8" t="str" cm="1">
        <f t="array" ref="L1:L9">_xlfn.UNIQUE(C:C)</f>
        <v>Year</v>
      </c>
      <c r="M1" s="8" t="str" cm="1">
        <f t="array" ref="M1:M6">_xlfn.UNIQUE(D:D)</f>
        <v>Product</v>
      </c>
    </row>
    <row r="2" spans="1:13" s="8" customFormat="1" ht="14.4" thickBot="1">
      <c r="A2" s="31" t="s">
        <v>154</v>
      </c>
      <c r="B2" s="32" t="s">
        <v>676</v>
      </c>
      <c r="C2" s="32">
        <v>2015</v>
      </c>
      <c r="D2" s="93"/>
      <c r="J2" s="8" t="str">
        <v>Haematology</v>
      </c>
      <c r="K2" s="8" t="str">
        <v xml:space="preserve">Anticoagulant product in venous thromboembolism </v>
      </c>
      <c r="L2" s="8">
        <v>2015</v>
      </c>
      <c r="M2" s="8">
        <v>0</v>
      </c>
    </row>
    <row r="3" spans="1:13" s="8" customFormat="1" ht="14.4" thickBot="1">
      <c r="A3" s="31" t="s">
        <v>607</v>
      </c>
      <c r="B3" s="32" t="s">
        <v>677</v>
      </c>
      <c r="C3" s="32">
        <v>2015</v>
      </c>
      <c r="D3" s="93"/>
      <c r="J3" s="8" t="str">
        <v>Haemato-oncology</v>
      </c>
      <c r="K3" s="8" t="str">
        <v xml:space="preserve">Mantle Cell Lymphoma product </v>
      </c>
      <c r="L3" s="8">
        <v>2016</v>
      </c>
      <c r="M3" s="8" t="str">
        <v>Binimetinib + encorafenib</v>
      </c>
    </row>
    <row r="4" spans="1:13" s="8" customFormat="1" ht="14.4" thickBot="1">
      <c r="A4" s="31" t="s">
        <v>60</v>
      </c>
      <c r="B4" s="32" t="s">
        <v>678</v>
      </c>
      <c r="C4" s="32">
        <v>2015</v>
      </c>
      <c r="D4" s="93"/>
      <c r="J4" s="8" t="str">
        <v>Metabolic/Endocrine Disorders</v>
      </c>
      <c r="K4" s="8" t="str">
        <v xml:space="preserve">Acromegaly product </v>
      </c>
      <c r="L4" s="8">
        <v>2017</v>
      </c>
      <c r="M4" s="8" t="str">
        <v>Veyvondi</v>
      </c>
    </row>
    <row r="5" spans="1:13" ht="14.4" thickBot="1">
      <c r="A5" s="31" t="s">
        <v>673</v>
      </c>
      <c r="B5" s="32" t="s">
        <v>674</v>
      </c>
      <c r="C5" s="32">
        <v>2016</v>
      </c>
      <c r="D5" s="93"/>
      <c r="J5" s="9" t="str">
        <v>Cardiorenal/Metabolic</v>
      </c>
      <c r="K5" s="9" t="str">
        <v xml:space="preserve">Hyperkalemia product </v>
      </c>
      <c r="L5" s="9">
        <v>2018</v>
      </c>
      <c r="M5" s="9" t="str">
        <v>nAB</v>
      </c>
    </row>
    <row r="6" spans="1:13" ht="14.4" thickBot="1">
      <c r="A6" s="31" t="s">
        <v>60</v>
      </c>
      <c r="B6" s="32" t="s">
        <v>675</v>
      </c>
      <c r="C6" s="32">
        <v>2016</v>
      </c>
      <c r="D6" s="93"/>
      <c r="J6" s="9" t="str">
        <v>Oncology</v>
      </c>
      <c r="K6" s="9" t="str">
        <v>DPP-4 / SGLT-2 combination product in T2DM (update)</v>
      </c>
      <c r="L6" s="9">
        <v>2019</v>
      </c>
      <c r="M6" s="9" t="str">
        <v>Opdivo + Cabozantinib</v>
      </c>
    </row>
    <row r="7" spans="1:13" ht="14.4" thickBot="1">
      <c r="A7" s="31" t="s">
        <v>13</v>
      </c>
      <c r="B7" s="32" t="s">
        <v>511</v>
      </c>
      <c r="C7" s="32">
        <v>2017</v>
      </c>
      <c r="D7" s="93" t="s">
        <v>679</v>
      </c>
      <c r="J7" s="9" t="str">
        <v>Respiratory</v>
      </c>
      <c r="K7" s="9" t="str">
        <v>Melanoma</v>
      </c>
      <c r="L7" s="9">
        <v>2020</v>
      </c>
    </row>
    <row r="8" spans="1:13" ht="14.4" thickBot="1">
      <c r="A8" s="31" t="s">
        <v>13</v>
      </c>
      <c r="B8" s="32" t="s">
        <v>672</v>
      </c>
      <c r="C8" s="32">
        <v>2017</v>
      </c>
      <c r="D8" s="93"/>
      <c r="J8" s="9" t="str">
        <v>Central nervous system</v>
      </c>
      <c r="K8" s="9" t="str">
        <v>Metastatic colorectal cancer product</v>
      </c>
      <c r="L8" s="9">
        <v>2021</v>
      </c>
    </row>
    <row r="9" spans="1:13" ht="14.4" thickBot="1">
      <c r="A9" s="31" t="s">
        <v>36</v>
      </c>
      <c r="B9" s="32" t="s">
        <v>670</v>
      </c>
      <c r="C9" s="32">
        <v>2017</v>
      </c>
      <c r="D9" s="93"/>
      <c r="J9" s="9" t="str">
        <v>Infectious diseases</v>
      </c>
      <c r="K9" s="9" t="str">
        <v xml:space="preserve">Asthma product </v>
      </c>
      <c r="L9" s="9">
        <v>0</v>
      </c>
    </row>
    <row r="10" spans="1:13" ht="14.4" thickBot="1">
      <c r="A10" s="31" t="s">
        <v>36</v>
      </c>
      <c r="B10" s="32" t="s">
        <v>671</v>
      </c>
      <c r="C10" s="32">
        <v>2017</v>
      </c>
      <c r="D10" s="93"/>
      <c r="J10" s="9" t="str">
        <v>Mental illness</v>
      </c>
      <c r="K10" s="9" t="str">
        <v xml:space="preserve">Chronic Obstructive Pulmonary Disease product </v>
      </c>
    </row>
    <row r="11" spans="1:13" ht="14.4" thickBot="1">
      <c r="A11" s="31" t="s">
        <v>172</v>
      </c>
      <c r="B11" s="32" t="s">
        <v>665</v>
      </c>
      <c r="C11" s="32">
        <v>2018</v>
      </c>
      <c r="D11" s="93"/>
      <c r="J11" s="9">
        <v>0</v>
      </c>
      <c r="K11" s="9" t="str">
        <v xml:space="preserve">Diabetic peripheral neuropathy/post-herpetic neuralgia product </v>
      </c>
    </row>
    <row r="12" spans="1:13" ht="14.4" thickBot="1">
      <c r="A12" s="31" t="s">
        <v>76</v>
      </c>
      <c r="B12" s="32" t="s">
        <v>666</v>
      </c>
      <c r="C12" s="32">
        <v>2018</v>
      </c>
      <c r="D12" s="93"/>
      <c r="K12" s="9" t="str">
        <v xml:space="preserve">Pseudomonas aeruginosa anti-infective product </v>
      </c>
    </row>
    <row r="13" spans="1:13" ht="14.4" thickBot="1">
      <c r="A13" s="31" t="s">
        <v>663</v>
      </c>
      <c r="B13" s="32" t="s">
        <v>664</v>
      </c>
      <c r="C13" s="32">
        <v>2018</v>
      </c>
      <c r="D13" s="93"/>
      <c r="K13" s="9" t="str">
        <v xml:space="preserve">Digital treatment program for depression </v>
      </c>
    </row>
    <row r="14" spans="1:13" ht="14.4" thickBot="1">
      <c r="A14" s="31" t="s">
        <v>60</v>
      </c>
      <c r="B14" s="32" t="s">
        <v>669</v>
      </c>
      <c r="C14" s="32">
        <v>2018</v>
      </c>
      <c r="D14" s="93"/>
      <c r="K14" s="9" t="str">
        <v xml:space="preserve">GLP-1 agonist product in T2DM </v>
      </c>
    </row>
    <row r="15" spans="1:13" ht="14.4" thickBot="1">
      <c r="A15" s="31" t="s">
        <v>13</v>
      </c>
      <c r="B15" s="32" t="s">
        <v>668</v>
      </c>
      <c r="C15" s="32">
        <v>2018</v>
      </c>
      <c r="D15" s="93"/>
      <c r="K15" s="9" t="str">
        <v xml:space="preserve">Cutaneous melanoma product </v>
      </c>
    </row>
    <row r="16" spans="1:13" ht="14.4" thickBot="1">
      <c r="A16" s="31" t="s">
        <v>13</v>
      </c>
      <c r="B16" s="32" t="s">
        <v>667</v>
      </c>
      <c r="C16" s="32">
        <v>2018</v>
      </c>
      <c r="D16" s="93"/>
      <c r="K16" s="9" t="str">
        <v xml:space="preserve">Non-small cell lung cancer IO product </v>
      </c>
    </row>
    <row r="17" spans="1:17" ht="14.4" thickBot="1">
      <c r="A17" s="31" t="s">
        <v>172</v>
      </c>
      <c r="B17" s="32" t="s">
        <v>660</v>
      </c>
      <c r="C17" s="32">
        <v>2019</v>
      </c>
      <c r="D17" s="93"/>
      <c r="K17" s="9" t="str">
        <v>Epilepsy product (update)</v>
      </c>
    </row>
    <row r="18" spans="1:17" ht="14.4" thickBot="1">
      <c r="A18" s="31" t="s">
        <v>76</v>
      </c>
      <c r="B18" s="32" t="s">
        <v>661</v>
      </c>
      <c r="C18" s="32">
        <v>2019</v>
      </c>
      <c r="D18" s="93"/>
      <c r="K18" s="9" t="str">
        <v xml:space="preserve">HIV product </v>
      </c>
    </row>
    <row r="19" spans="1:17" ht="14.4" thickBot="1">
      <c r="A19" s="31" t="s">
        <v>13</v>
      </c>
      <c r="B19" s="32" t="s">
        <v>662</v>
      </c>
      <c r="C19" s="32">
        <v>2019</v>
      </c>
      <c r="D19" s="93"/>
      <c r="K19" s="9" t="str">
        <v>Hepatocellular cell carcinoma/renal cell carcinoma product</v>
      </c>
    </row>
    <row r="20" spans="1:17" ht="14.4" thickBot="1">
      <c r="A20" s="31" t="s">
        <v>607</v>
      </c>
      <c r="B20" s="32" t="s">
        <v>658</v>
      </c>
      <c r="C20" s="32">
        <v>2020</v>
      </c>
      <c r="D20" s="93"/>
      <c r="K20" s="9" t="str">
        <v>Non Hodgkin Lymphoma</v>
      </c>
    </row>
    <row r="21" spans="1:17" ht="14.4" thickBot="1">
      <c r="A21" s="31" t="s">
        <v>607</v>
      </c>
      <c r="B21" s="32" t="s">
        <v>657</v>
      </c>
      <c r="C21" s="32">
        <v>2020</v>
      </c>
      <c r="D21" s="93"/>
      <c r="K21" s="9" t="str">
        <v xml:space="preserve">Relapsed/refractory AML product </v>
      </c>
    </row>
    <row r="22" spans="1:17" ht="14.4" thickBot="1">
      <c r="A22" s="31" t="s">
        <v>13</v>
      </c>
      <c r="B22" s="32" t="s">
        <v>659</v>
      </c>
      <c r="C22" s="32">
        <v>2020</v>
      </c>
      <c r="D22" s="93"/>
      <c r="K22" s="9" t="str">
        <v>Unresectable malignant pleural mesothelioma</v>
      </c>
    </row>
    <row r="23" spans="1:17" ht="14.4" thickBot="1">
      <c r="A23" s="31" t="s">
        <v>154</v>
      </c>
      <c r="B23" s="32" t="s">
        <v>653</v>
      </c>
      <c r="C23" s="32">
        <v>2021</v>
      </c>
      <c r="D23" s="93" t="s">
        <v>654</v>
      </c>
      <c r="K23" s="9" t="str">
        <v>von Willebrand disease (an inherited bleeding disorder)</v>
      </c>
    </row>
    <row r="24" spans="1:17" ht="14.4" thickBot="1">
      <c r="A24" s="31" t="s">
        <v>76</v>
      </c>
      <c r="B24" s="32" t="s">
        <v>651</v>
      </c>
      <c r="C24" s="32">
        <v>2021</v>
      </c>
      <c r="D24" s="93" t="s">
        <v>652</v>
      </c>
      <c r="K24" s="9" t="str">
        <v>COVID-19 infection</v>
      </c>
    </row>
    <row r="25" spans="1:17">
      <c r="A25" s="33" t="s">
        <v>13</v>
      </c>
      <c r="B25" s="34" t="s">
        <v>655</v>
      </c>
      <c r="C25" s="34">
        <v>2021</v>
      </c>
      <c r="D25" s="94" t="s">
        <v>656</v>
      </c>
      <c r="K25" s="9" t="str">
        <v>Advanced renal cell carcinoma</v>
      </c>
    </row>
    <row r="26" spans="1:17">
      <c r="K26" s="9">
        <v>0</v>
      </c>
    </row>
    <row r="29" spans="1:17">
      <c r="J29" s="35"/>
      <c r="K29" s="35"/>
      <c r="L29" s="35"/>
      <c r="M29" s="35"/>
      <c r="N29" s="35"/>
      <c r="O29" s="35"/>
      <c r="P29" s="35"/>
      <c r="Q29" s="35"/>
    </row>
    <row r="30" spans="1:17">
      <c r="J30" s="35"/>
      <c r="K30" s="35"/>
      <c r="L30" s="35"/>
      <c r="M30" s="35"/>
      <c r="N30" s="35"/>
      <c r="O30" s="35"/>
      <c r="P30" s="35"/>
      <c r="Q30" s="35"/>
    </row>
    <row r="31" spans="1:17">
      <c r="J31" s="35"/>
      <c r="K31" s="35"/>
      <c r="L31" s="35"/>
      <c r="M31" s="35"/>
      <c r="N31" s="35"/>
      <c r="O31" s="35"/>
      <c r="P31" s="35"/>
      <c r="Q31" s="35"/>
    </row>
    <row r="32" spans="1:17">
      <c r="J32" s="35"/>
      <c r="K32" s="35"/>
      <c r="L32" s="35"/>
      <c r="M32" s="35"/>
      <c r="N32" s="35"/>
      <c r="O32" s="35"/>
      <c r="P32" s="35"/>
      <c r="Q32" s="35"/>
    </row>
    <row r="33" spans="10:17">
      <c r="J33" s="35"/>
      <c r="K33" s="35"/>
      <c r="L33" s="35"/>
      <c r="M33" s="35"/>
      <c r="N33" s="35"/>
      <c r="O33" s="35"/>
      <c r="P33" s="35"/>
      <c r="Q33" s="35"/>
    </row>
    <row r="34" spans="10:17">
      <c r="J34" s="35"/>
      <c r="K34" s="35"/>
      <c r="L34" s="35"/>
      <c r="M34" s="35"/>
      <c r="N34" s="35"/>
      <c r="O34" s="35"/>
      <c r="P34" s="35"/>
      <c r="Q34" s="35"/>
    </row>
    <row r="35" spans="10:17">
      <c r="J35" s="35"/>
      <c r="K35" s="35"/>
      <c r="L35" s="35"/>
      <c r="M35" s="35"/>
      <c r="N35" s="35"/>
      <c r="O35" s="35"/>
      <c r="P35" s="35"/>
      <c r="Q35" s="35"/>
    </row>
    <row r="36" spans="10:17">
      <c r="J36" s="35"/>
      <c r="K36" s="35"/>
      <c r="L36" s="35"/>
      <c r="M36" s="35"/>
      <c r="N36" s="35"/>
      <c r="O36" s="35"/>
      <c r="P36" s="35"/>
      <c r="Q36" s="35"/>
    </row>
    <row r="37" spans="10:17">
      <c r="J37" s="35"/>
      <c r="K37" s="35"/>
      <c r="L37" s="35"/>
      <c r="M37" s="35"/>
      <c r="N37" s="35"/>
      <c r="O37" s="35"/>
      <c r="P37" s="35"/>
      <c r="Q37" s="35"/>
    </row>
    <row r="38" spans="10:17">
      <c r="J38" s="35"/>
      <c r="K38" s="35"/>
      <c r="L38" s="35"/>
      <c r="M38" s="35"/>
      <c r="N38" s="35"/>
      <c r="O38" s="35"/>
      <c r="P38" s="35"/>
      <c r="Q38" s="35"/>
    </row>
    <row r="39" spans="10:17">
      <c r="J39" s="35"/>
      <c r="K39" s="35"/>
      <c r="L39" s="35"/>
      <c r="M39" s="35"/>
      <c r="N39" s="35"/>
      <c r="O39" s="35"/>
      <c r="P39" s="35"/>
      <c r="Q39" s="35"/>
    </row>
    <row r="40" spans="10:17">
      <c r="J40" s="35"/>
      <c r="K40" s="35"/>
      <c r="L40" s="35"/>
      <c r="M40" s="35"/>
      <c r="N40" s="35"/>
      <c r="O40" s="35"/>
      <c r="P40" s="35"/>
      <c r="Q40" s="35"/>
    </row>
    <row r="41" spans="10:17">
      <c r="J41" s="35"/>
      <c r="K41" s="35"/>
      <c r="L41" s="35"/>
      <c r="M41" s="35"/>
      <c r="N41" s="35"/>
      <c r="O41" s="35"/>
      <c r="P41" s="35"/>
      <c r="Q41" s="35"/>
    </row>
    <row r="42" spans="10:17">
      <c r="J42" s="35"/>
      <c r="K42" s="35"/>
      <c r="L42" s="35"/>
      <c r="M42" s="35"/>
      <c r="N42" s="35"/>
      <c r="O42" s="35"/>
      <c r="P42" s="35"/>
      <c r="Q42" s="35"/>
    </row>
    <row r="43" spans="10:17">
      <c r="J43" s="35"/>
      <c r="K43" s="35"/>
      <c r="L43" s="35"/>
      <c r="M43" s="35"/>
      <c r="N43" s="35"/>
      <c r="O43" s="35"/>
      <c r="P43" s="35"/>
      <c r="Q43" s="35"/>
    </row>
    <row r="44" spans="10:17">
      <c r="J44" s="35"/>
      <c r="K44" s="35"/>
      <c r="L44" s="35"/>
      <c r="M44" s="35"/>
      <c r="N44" s="35"/>
      <c r="O44" s="35"/>
      <c r="P44" s="35"/>
      <c r="Q44" s="35"/>
    </row>
    <row r="45" spans="10:17">
      <c r="J45" s="35"/>
      <c r="K45" s="35"/>
      <c r="L45" s="35"/>
      <c r="M45" s="35"/>
      <c r="N45" s="35"/>
      <c r="O45" s="35"/>
      <c r="P45" s="35"/>
      <c r="Q45" s="35"/>
    </row>
    <row r="46" spans="10:17">
      <c r="J46" s="35"/>
      <c r="K46" s="35"/>
      <c r="L46" s="35"/>
      <c r="M46" s="35"/>
      <c r="N46" s="35"/>
      <c r="O46" s="35"/>
      <c r="P46" s="35"/>
      <c r="Q46" s="35"/>
    </row>
    <row r="47" spans="10:17">
      <c r="J47" s="35"/>
      <c r="K47" s="35"/>
      <c r="L47" s="35"/>
      <c r="M47" s="35"/>
      <c r="N47" s="35"/>
      <c r="O47" s="35"/>
      <c r="P47" s="35"/>
      <c r="Q47" s="35"/>
    </row>
    <row r="48" spans="10:17">
      <c r="J48" s="35"/>
      <c r="K48" s="35"/>
      <c r="L48" s="35"/>
      <c r="M48" s="35"/>
      <c r="N48" s="35"/>
      <c r="O48" s="35"/>
      <c r="P48" s="35"/>
      <c r="Q48" s="35"/>
    </row>
    <row r="49" spans="1:17">
      <c r="J49" s="35"/>
      <c r="K49" s="35"/>
      <c r="L49" s="35"/>
      <c r="M49" s="35"/>
      <c r="N49" s="35"/>
      <c r="O49" s="35"/>
      <c r="P49" s="35"/>
      <c r="Q49" s="35"/>
    </row>
    <row r="50" spans="1:17">
      <c r="J50" s="35"/>
      <c r="K50" s="35"/>
      <c r="L50" s="35"/>
      <c r="M50" s="35"/>
      <c r="N50" s="35"/>
      <c r="O50" s="35"/>
      <c r="P50" s="35"/>
      <c r="Q50" s="35"/>
    </row>
    <row r="51" spans="1:17">
      <c r="J51" s="35"/>
      <c r="K51" s="35"/>
      <c r="L51" s="35"/>
      <c r="M51" s="35"/>
      <c r="N51" s="35"/>
      <c r="O51" s="35"/>
      <c r="P51" s="35"/>
      <c r="Q51" s="35"/>
    </row>
    <row r="52" spans="1:17">
      <c r="J52" s="35"/>
      <c r="K52" s="35"/>
      <c r="L52" s="35"/>
      <c r="M52" s="35"/>
      <c r="N52" s="35"/>
      <c r="O52" s="35"/>
      <c r="P52" s="35"/>
      <c r="Q52" s="35"/>
    </row>
    <row r="53" spans="1:17">
      <c r="J53" s="35"/>
      <c r="K53" s="35"/>
      <c r="L53" s="35"/>
      <c r="M53" s="35"/>
      <c r="N53" s="35"/>
      <c r="O53" s="35"/>
      <c r="P53" s="35"/>
      <c r="Q53" s="35"/>
    </row>
    <row r="54" spans="1:17">
      <c r="J54" s="35"/>
      <c r="K54" s="35"/>
      <c r="L54" s="35"/>
      <c r="M54" s="35"/>
      <c r="N54" s="35"/>
      <c r="O54" s="35"/>
      <c r="P54" s="35"/>
      <c r="Q54" s="35"/>
    </row>
    <row r="55" spans="1:17">
      <c r="J55" s="35"/>
      <c r="K55" s="35"/>
      <c r="L55" s="35"/>
      <c r="M55" s="35"/>
      <c r="N55" s="35"/>
      <c r="O55" s="35"/>
      <c r="P55" s="35"/>
      <c r="Q55" s="35"/>
    </row>
    <row r="56" spans="1:17">
      <c r="A56" s="35"/>
      <c r="B56" s="35"/>
      <c r="C56" s="35"/>
      <c r="D56" s="35"/>
      <c r="E56" s="35"/>
      <c r="F56" s="35"/>
      <c r="G56" s="35"/>
      <c r="H56" s="35"/>
      <c r="I56" s="35"/>
      <c r="J56" s="35"/>
      <c r="K56" s="35"/>
      <c r="L56" s="35"/>
      <c r="M56" s="35"/>
      <c r="N56" s="35"/>
      <c r="O56" s="35"/>
      <c r="P56" s="35"/>
      <c r="Q56" s="35"/>
    </row>
    <row r="57" spans="1:17">
      <c r="A57" s="35"/>
      <c r="B57" s="35"/>
      <c r="C57" s="35"/>
      <c r="D57" s="35"/>
      <c r="E57" s="35"/>
      <c r="F57" s="35"/>
      <c r="G57" s="35"/>
      <c r="H57" s="35"/>
      <c r="I57" s="35"/>
      <c r="J57" s="35"/>
      <c r="K57" s="35"/>
      <c r="L57" s="35"/>
      <c r="M57" s="35"/>
      <c r="N57" s="35"/>
      <c r="O57" s="35"/>
      <c r="P57" s="35"/>
      <c r="Q57" s="35"/>
    </row>
    <row r="58" spans="1:17">
      <c r="A58" s="35"/>
      <c r="B58" s="35"/>
      <c r="C58" s="35"/>
      <c r="D58" s="35"/>
      <c r="E58" s="35"/>
      <c r="F58" s="35"/>
      <c r="G58" s="35"/>
      <c r="H58" s="35"/>
      <c r="I58" s="35"/>
      <c r="J58" s="35"/>
      <c r="K58" s="35"/>
      <c r="L58" s="35"/>
      <c r="M58" s="35"/>
      <c r="N58" s="35"/>
      <c r="O58" s="35"/>
      <c r="P58" s="35"/>
      <c r="Q58" s="35"/>
    </row>
    <row r="59" spans="1:17">
      <c r="A59" s="35"/>
      <c r="B59" s="35"/>
      <c r="C59" s="35"/>
      <c r="D59" s="35"/>
      <c r="E59" s="35"/>
      <c r="F59" s="35"/>
      <c r="G59" s="35"/>
      <c r="H59" s="35"/>
      <c r="I59" s="35"/>
      <c r="J59" s="35"/>
      <c r="K59" s="35"/>
      <c r="L59" s="35"/>
      <c r="M59" s="35"/>
      <c r="N59" s="35"/>
      <c r="O59" s="35"/>
      <c r="P59" s="35"/>
      <c r="Q59" s="35"/>
    </row>
    <row r="60" spans="1:17">
      <c r="A60" s="35"/>
      <c r="B60" s="35"/>
      <c r="C60" s="35"/>
      <c r="D60" s="35"/>
      <c r="E60" s="35"/>
      <c r="F60" s="35"/>
      <c r="G60" s="35"/>
      <c r="H60" s="35"/>
      <c r="I60" s="35"/>
      <c r="J60" s="35"/>
      <c r="K60" s="35"/>
      <c r="L60" s="35"/>
      <c r="M60" s="35"/>
      <c r="N60" s="35"/>
      <c r="O60" s="35"/>
      <c r="P60" s="35"/>
      <c r="Q60" s="35"/>
    </row>
    <row r="61" spans="1:17">
      <c r="A61" s="35"/>
      <c r="B61" s="35"/>
      <c r="C61" s="35"/>
      <c r="D61" s="35"/>
      <c r="E61" s="35"/>
      <c r="F61" s="35"/>
      <c r="G61" s="35"/>
      <c r="H61" s="35"/>
      <c r="I61" s="35"/>
      <c r="J61" s="35"/>
      <c r="K61" s="35"/>
      <c r="L61" s="35"/>
      <c r="M61" s="35"/>
      <c r="N61" s="35"/>
      <c r="O61" s="35"/>
      <c r="P61" s="35"/>
      <c r="Q61" s="35"/>
    </row>
    <row r="62" spans="1:17">
      <c r="A62" s="35"/>
      <c r="B62" s="35"/>
      <c r="C62" s="35"/>
      <c r="D62" s="35"/>
      <c r="E62" s="35"/>
      <c r="F62" s="35"/>
      <c r="G62" s="35"/>
      <c r="H62" s="35"/>
      <c r="I62" s="35"/>
      <c r="J62" s="35"/>
      <c r="K62" s="35"/>
      <c r="L62" s="35"/>
      <c r="M62" s="35"/>
      <c r="N62" s="35"/>
      <c r="O62" s="35"/>
      <c r="P62" s="35"/>
      <c r="Q62" s="35"/>
    </row>
    <row r="63" spans="1:17">
      <c r="A63" s="35"/>
      <c r="B63" s="35"/>
      <c r="C63" s="35"/>
      <c r="D63" s="35"/>
      <c r="E63" s="35"/>
      <c r="F63" s="35"/>
      <c r="G63" s="35"/>
      <c r="H63" s="35"/>
      <c r="I63" s="35"/>
      <c r="J63" s="35"/>
      <c r="K63" s="35"/>
      <c r="L63" s="35"/>
      <c r="M63" s="35"/>
      <c r="N63" s="35"/>
      <c r="O63" s="35"/>
      <c r="P63" s="35"/>
      <c r="Q63" s="35"/>
    </row>
    <row r="64" spans="1:17">
      <c r="A64" s="35"/>
      <c r="B64" s="35"/>
      <c r="C64" s="35"/>
      <c r="D64" s="35"/>
      <c r="E64" s="35"/>
      <c r="F64" s="35"/>
      <c r="G64" s="35"/>
      <c r="H64" s="35"/>
      <c r="I64" s="35"/>
      <c r="J64" s="35"/>
      <c r="K64" s="35"/>
      <c r="L64" s="35"/>
      <c r="M64" s="35"/>
      <c r="N64" s="35"/>
      <c r="O64" s="35"/>
      <c r="P64" s="35"/>
      <c r="Q64" s="35"/>
    </row>
    <row r="65" spans="1:17">
      <c r="A65" s="35"/>
      <c r="B65" s="35"/>
      <c r="C65" s="35"/>
      <c r="D65" s="35"/>
      <c r="E65" s="35"/>
      <c r="F65" s="35"/>
      <c r="G65" s="35"/>
      <c r="H65" s="35"/>
      <c r="I65" s="35"/>
      <c r="J65" s="35"/>
      <c r="K65" s="35"/>
      <c r="L65" s="35"/>
      <c r="M65" s="35"/>
      <c r="N65" s="35"/>
      <c r="O65" s="35"/>
      <c r="P65" s="35"/>
      <c r="Q65" s="35"/>
    </row>
    <row r="66" spans="1:17">
      <c r="A66" s="35"/>
      <c r="B66" s="35"/>
      <c r="C66" s="35"/>
      <c r="D66" s="35"/>
      <c r="E66" s="35"/>
      <c r="F66" s="35"/>
      <c r="G66" s="35"/>
      <c r="H66" s="35"/>
      <c r="I66" s="35"/>
      <c r="J66" s="35"/>
      <c r="K66" s="35"/>
      <c r="L66" s="35"/>
      <c r="M66" s="35"/>
      <c r="N66" s="35"/>
      <c r="O66" s="35"/>
      <c r="P66" s="35"/>
      <c r="Q66" s="35"/>
    </row>
    <row r="67" spans="1:17">
      <c r="A67" s="35"/>
      <c r="B67" s="35"/>
      <c r="C67" s="35"/>
      <c r="D67" s="35"/>
      <c r="E67" s="35"/>
      <c r="F67" s="35"/>
      <c r="G67" s="35"/>
      <c r="H67" s="35"/>
      <c r="I67" s="35"/>
      <c r="J67" s="35"/>
      <c r="K67" s="35"/>
      <c r="L67" s="35"/>
      <c r="M67" s="35"/>
      <c r="N67" s="35"/>
      <c r="O67" s="35"/>
      <c r="P67" s="35"/>
      <c r="Q67" s="35"/>
    </row>
    <row r="68" spans="1:17">
      <c r="A68" s="35"/>
      <c r="B68" s="35"/>
      <c r="C68" s="35"/>
      <c r="D68" s="35"/>
      <c r="E68" s="35"/>
      <c r="F68" s="35"/>
      <c r="G68" s="35"/>
      <c r="H68" s="35"/>
      <c r="I68" s="35"/>
      <c r="J68" s="35"/>
      <c r="K68" s="35"/>
      <c r="L68" s="35"/>
      <c r="M68" s="35"/>
      <c r="N68" s="35"/>
      <c r="O68" s="35"/>
      <c r="P68" s="35"/>
      <c r="Q68" s="35"/>
    </row>
    <row r="69" spans="1:17">
      <c r="A69" s="35"/>
      <c r="B69" s="35"/>
      <c r="C69" s="35"/>
      <c r="D69" s="35"/>
      <c r="E69" s="35"/>
      <c r="F69" s="35"/>
      <c r="G69" s="35"/>
      <c r="H69" s="35"/>
      <c r="I69" s="35"/>
      <c r="J69" s="35"/>
      <c r="K69" s="35"/>
      <c r="L69" s="35"/>
      <c r="M69" s="35"/>
      <c r="N69" s="35"/>
      <c r="O69" s="35"/>
      <c r="P69" s="35"/>
      <c r="Q69" s="35"/>
    </row>
    <row r="70" spans="1:17">
      <c r="A70" s="35"/>
      <c r="B70" s="35"/>
      <c r="C70" s="35"/>
      <c r="D70" s="35"/>
      <c r="E70" s="35"/>
      <c r="F70" s="35"/>
      <c r="G70" s="35"/>
      <c r="H70" s="35"/>
      <c r="I70" s="35"/>
      <c r="J70" s="35"/>
      <c r="K70" s="35"/>
      <c r="L70" s="35"/>
      <c r="M70" s="35"/>
      <c r="N70" s="35"/>
      <c r="O70" s="35"/>
      <c r="P70" s="35"/>
      <c r="Q70" s="35"/>
    </row>
    <row r="71" spans="1:17">
      <c r="A71" s="35"/>
      <c r="B71" s="35"/>
      <c r="C71" s="35"/>
      <c r="D71" s="35"/>
      <c r="E71" s="35"/>
      <c r="F71" s="35"/>
      <c r="G71" s="35"/>
      <c r="H71" s="35"/>
      <c r="I71" s="35"/>
      <c r="J71" s="35"/>
      <c r="K71" s="35"/>
      <c r="L71" s="35"/>
      <c r="M71" s="35"/>
      <c r="N71" s="35"/>
      <c r="O71" s="35"/>
      <c r="P71" s="35"/>
      <c r="Q71" s="35"/>
    </row>
    <row r="72" spans="1:17">
      <c r="A72" s="35"/>
      <c r="B72" s="35"/>
      <c r="C72" s="35"/>
      <c r="D72" s="35"/>
      <c r="E72" s="35"/>
      <c r="F72" s="35"/>
      <c r="G72" s="35"/>
      <c r="H72" s="35"/>
      <c r="I72" s="35"/>
      <c r="J72" s="35"/>
      <c r="K72" s="35"/>
      <c r="L72" s="35"/>
      <c r="M72" s="35"/>
      <c r="N72" s="35"/>
      <c r="O72" s="35"/>
      <c r="P72" s="35"/>
      <c r="Q72" s="35"/>
    </row>
    <row r="73" spans="1:17">
      <c r="A73" s="35"/>
      <c r="B73" s="35"/>
      <c r="C73" s="35"/>
      <c r="D73" s="35"/>
      <c r="E73" s="35"/>
      <c r="F73" s="35"/>
      <c r="G73" s="35"/>
      <c r="H73" s="35"/>
      <c r="I73" s="35"/>
      <c r="J73" s="35"/>
      <c r="K73" s="35"/>
      <c r="L73" s="35"/>
      <c r="M73" s="35"/>
      <c r="N73" s="35"/>
      <c r="O73" s="35"/>
      <c r="P73" s="35"/>
      <c r="Q73" s="35"/>
    </row>
    <row r="74" spans="1:17">
      <c r="A74" s="35"/>
      <c r="B74" s="35"/>
      <c r="C74" s="35"/>
      <c r="D74" s="35"/>
      <c r="E74" s="35"/>
      <c r="F74" s="35"/>
      <c r="G74" s="35"/>
      <c r="H74" s="35"/>
      <c r="I74" s="35"/>
      <c r="J74" s="35"/>
      <c r="K74" s="35"/>
      <c r="L74" s="35"/>
      <c r="M74" s="35"/>
      <c r="N74" s="35"/>
      <c r="O74" s="35"/>
      <c r="P74" s="35"/>
      <c r="Q74" s="35"/>
    </row>
    <row r="75" spans="1:17">
      <c r="A75" s="35"/>
      <c r="B75" s="35"/>
      <c r="C75" s="35"/>
      <c r="D75" s="35"/>
      <c r="E75" s="35"/>
      <c r="F75" s="35"/>
      <c r="G75" s="35"/>
      <c r="H75" s="35"/>
      <c r="I75" s="35"/>
      <c r="J75" s="35"/>
      <c r="K75" s="35"/>
      <c r="L75" s="35"/>
      <c r="M75" s="35"/>
      <c r="N75" s="35"/>
      <c r="O75" s="35"/>
      <c r="P75" s="35"/>
      <c r="Q75" s="35"/>
    </row>
    <row r="76" spans="1:17">
      <c r="A76" s="35"/>
      <c r="B76" s="35"/>
      <c r="C76" s="35"/>
      <c r="D76" s="35"/>
      <c r="E76" s="35"/>
      <c r="F76" s="35"/>
      <c r="G76" s="35"/>
      <c r="H76" s="35"/>
      <c r="I76" s="35"/>
      <c r="J76" s="35"/>
      <c r="K76" s="35"/>
      <c r="L76" s="35"/>
      <c r="M76" s="35"/>
      <c r="N76" s="35"/>
      <c r="O76" s="35"/>
      <c r="P76" s="35"/>
      <c r="Q76" s="35"/>
    </row>
    <row r="77" spans="1:17">
      <c r="A77" s="35"/>
      <c r="B77" s="35"/>
      <c r="C77" s="35"/>
      <c r="D77" s="35"/>
      <c r="E77" s="35"/>
      <c r="F77" s="35"/>
      <c r="G77" s="35"/>
      <c r="H77" s="35"/>
      <c r="I77" s="35"/>
      <c r="J77" s="35"/>
      <c r="K77" s="35"/>
      <c r="L77" s="35"/>
      <c r="M77" s="35"/>
      <c r="N77" s="35"/>
      <c r="O77" s="35"/>
      <c r="P77" s="35"/>
      <c r="Q77" s="35"/>
    </row>
    <row r="78" spans="1:17">
      <c r="A78" s="35"/>
      <c r="B78" s="35"/>
      <c r="C78" s="35"/>
      <c r="D78" s="35"/>
      <c r="E78" s="35"/>
      <c r="F78" s="35"/>
      <c r="G78" s="35"/>
      <c r="H78" s="35"/>
      <c r="I78" s="35"/>
      <c r="J78" s="35"/>
      <c r="K78" s="35"/>
      <c r="L78" s="35"/>
      <c r="M78" s="35"/>
      <c r="N78" s="35"/>
      <c r="O78" s="35"/>
      <c r="P78" s="35"/>
      <c r="Q78" s="35"/>
    </row>
    <row r="79" spans="1:17">
      <c r="A79" s="35"/>
      <c r="B79" s="35"/>
      <c r="C79" s="35"/>
      <c r="D79" s="35"/>
      <c r="E79" s="35"/>
      <c r="F79" s="35"/>
      <c r="G79" s="35"/>
      <c r="H79" s="35"/>
      <c r="I79" s="35"/>
      <c r="J79" s="35"/>
      <c r="K79" s="35"/>
      <c r="L79" s="35"/>
      <c r="M79" s="35"/>
      <c r="N79" s="35"/>
      <c r="O79" s="35"/>
      <c r="P79" s="35"/>
      <c r="Q79" s="35"/>
    </row>
    <row r="80" spans="1:17">
      <c r="A80" s="35"/>
      <c r="B80" s="35"/>
      <c r="C80" s="35"/>
      <c r="D80" s="35"/>
      <c r="E80" s="35"/>
      <c r="F80" s="35"/>
      <c r="G80" s="35"/>
      <c r="H80" s="35"/>
      <c r="I80" s="35"/>
      <c r="J80" s="35"/>
      <c r="K80" s="35"/>
      <c r="L80" s="35"/>
      <c r="M80" s="35"/>
      <c r="N80" s="35"/>
      <c r="O80" s="35"/>
      <c r="P80" s="35"/>
      <c r="Q80" s="35"/>
    </row>
  </sheetData>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BF88A-A6CD-492E-A490-282420856731}">
  <sheetPr>
    <tabColor rgb="FF00B0F0"/>
  </sheetPr>
  <dimension ref="A2:CC70"/>
  <sheetViews>
    <sheetView zoomScaleNormal="100" workbookViewId="0">
      <selection activeCell="E25" sqref="E25"/>
    </sheetView>
  </sheetViews>
  <sheetFormatPr defaultRowHeight="14.4"/>
  <cols>
    <col min="1" max="1" width="17.77734375" bestFit="1" customWidth="1"/>
    <col min="2" max="2" width="16.21875" bestFit="1" customWidth="1"/>
    <col min="3" max="3" width="8.5546875" bestFit="1" customWidth="1"/>
    <col min="4" max="4" width="5.5546875" bestFit="1" customWidth="1"/>
    <col min="5" max="5" width="21.21875" bestFit="1" customWidth="1"/>
    <col min="6" max="6" width="10.5546875" bestFit="1" customWidth="1"/>
    <col min="7" max="7" width="4.5546875" bestFit="1" customWidth="1"/>
    <col min="8" max="8" width="5.77734375" bestFit="1" customWidth="1"/>
    <col min="9" max="9" width="5.21875" bestFit="1" customWidth="1"/>
    <col min="10" max="10" width="5" bestFit="1" customWidth="1"/>
    <col min="11" max="12" width="5.44140625" bestFit="1" customWidth="1"/>
    <col min="13" max="13" width="22.77734375" bestFit="1" customWidth="1"/>
    <col min="14" max="14" width="26.5546875" bestFit="1" customWidth="1"/>
    <col min="15" max="15" width="11.21875" bestFit="1" customWidth="1"/>
    <col min="16" max="16" width="17" bestFit="1" customWidth="1"/>
    <col min="17" max="17" width="10.5546875" bestFit="1" customWidth="1"/>
    <col min="18" max="18" width="13.44140625" bestFit="1" customWidth="1"/>
    <col min="19" max="19" width="10.44140625" bestFit="1" customWidth="1"/>
    <col min="20" max="20" width="13.5546875" bestFit="1" customWidth="1"/>
    <col min="21" max="21" width="10.21875" bestFit="1" customWidth="1"/>
    <col min="22" max="22" width="13.21875" bestFit="1" customWidth="1"/>
    <col min="23" max="23" width="7.77734375" bestFit="1" customWidth="1"/>
    <col min="24" max="24" width="10.77734375" bestFit="1" customWidth="1"/>
    <col min="25" max="25" width="8.5546875" bestFit="1" customWidth="1"/>
    <col min="26" max="26" width="11.44140625" bestFit="1" customWidth="1"/>
    <col min="27" max="27" width="11.21875" bestFit="1" customWidth="1"/>
    <col min="28" max="28" width="22.77734375" bestFit="1" customWidth="1"/>
    <col min="29" max="29" width="26.5546875" bestFit="1" customWidth="1"/>
    <col min="30" max="30" width="31.21875" bestFit="1" customWidth="1"/>
    <col min="31" max="31" width="29.44140625" bestFit="1" customWidth="1"/>
    <col min="32" max="32" width="19.44140625" bestFit="1" customWidth="1"/>
    <col min="33" max="33" width="17.77734375" bestFit="1" customWidth="1"/>
    <col min="34" max="34" width="27.5546875" bestFit="1" customWidth="1"/>
    <col min="35" max="35" width="25.77734375" bestFit="1" customWidth="1"/>
    <col min="36" max="36" width="19.44140625" bestFit="1" customWidth="1"/>
    <col min="37" max="37" width="17.77734375" bestFit="1" customWidth="1"/>
    <col min="38" max="38" width="27.77734375" bestFit="1" customWidth="1"/>
    <col min="39" max="39" width="26" bestFit="1" customWidth="1"/>
    <col min="40" max="40" width="19.44140625" bestFit="1" customWidth="1"/>
    <col min="41" max="41" width="17.77734375" bestFit="1" customWidth="1"/>
    <col min="42" max="42" width="27.44140625" bestFit="1" customWidth="1"/>
    <col min="43" max="43" width="25.77734375" bestFit="1" customWidth="1"/>
    <col min="44" max="44" width="19.44140625" bestFit="1" customWidth="1"/>
    <col min="45" max="45" width="17.77734375" bestFit="1" customWidth="1"/>
    <col min="46" max="46" width="24.77734375" bestFit="1" customWidth="1"/>
    <col min="47" max="47" width="23.21875" bestFit="1" customWidth="1"/>
    <col min="48" max="48" width="19.44140625" bestFit="1" customWidth="1"/>
    <col min="49" max="49" width="17.77734375" bestFit="1" customWidth="1"/>
    <col min="50" max="50" width="25.77734375" bestFit="1" customWidth="1"/>
    <col min="51" max="51" width="23.77734375" bestFit="1" customWidth="1"/>
    <col min="52" max="52" width="24.44140625" bestFit="1" customWidth="1"/>
    <col min="53" max="53" width="22.77734375" bestFit="1" customWidth="1"/>
    <col min="54" max="57" width="5" bestFit="1" customWidth="1"/>
    <col min="58" max="58" width="10" bestFit="1" customWidth="1"/>
    <col min="59" max="59" width="6.77734375" bestFit="1" customWidth="1"/>
    <col min="60" max="67" width="5" bestFit="1" customWidth="1"/>
    <col min="68" max="68" width="9.77734375" bestFit="1" customWidth="1"/>
    <col min="69" max="69" width="7.21875" bestFit="1" customWidth="1"/>
    <col min="70" max="70" width="10.21875" bestFit="1" customWidth="1"/>
    <col min="71" max="71" width="7.21875" bestFit="1" customWidth="1"/>
    <col min="72" max="72" width="10.21875" bestFit="1" customWidth="1"/>
    <col min="73" max="73" width="24.5546875" bestFit="1" customWidth="1"/>
    <col min="74" max="76" width="5" bestFit="1" customWidth="1"/>
    <col min="77" max="77" width="27.77734375" bestFit="1" customWidth="1"/>
    <col min="78" max="78" width="28.44140625" bestFit="1" customWidth="1"/>
    <col min="79" max="79" width="5" bestFit="1" customWidth="1"/>
    <col min="80" max="80" width="31.5546875" bestFit="1" customWidth="1"/>
    <col min="81" max="82" width="11.21875" bestFit="1" customWidth="1"/>
    <col min="83" max="83" width="10" bestFit="1" customWidth="1"/>
    <col min="84" max="84" width="24.77734375" bestFit="1" customWidth="1"/>
    <col min="85" max="85" width="12.44140625" bestFit="1" customWidth="1"/>
    <col min="86" max="86" width="16.77734375" bestFit="1" customWidth="1"/>
    <col min="87" max="87" width="11.21875" bestFit="1" customWidth="1"/>
    <col min="88" max="88" width="18.21875" bestFit="1" customWidth="1"/>
    <col min="89" max="89" width="29.21875" bestFit="1" customWidth="1"/>
    <col min="90" max="90" width="15.77734375" bestFit="1" customWidth="1"/>
    <col min="91" max="91" width="9.21875" bestFit="1" customWidth="1"/>
    <col min="92" max="92" width="14.77734375" bestFit="1" customWidth="1"/>
    <col min="93" max="93" width="11.21875" bestFit="1" customWidth="1"/>
    <col min="94" max="94" width="9.77734375" bestFit="1" customWidth="1"/>
    <col min="95" max="95" width="9.21875" bestFit="1" customWidth="1"/>
    <col min="96" max="96" width="10.21875" bestFit="1" customWidth="1"/>
    <col min="97" max="97" width="9.21875" bestFit="1" customWidth="1"/>
    <col min="98" max="98" width="10.21875" bestFit="1" customWidth="1"/>
    <col min="99" max="99" width="24.5546875" bestFit="1" customWidth="1"/>
    <col min="100" max="100" width="11.77734375" bestFit="1" customWidth="1"/>
    <col min="101" max="101" width="9.21875" bestFit="1" customWidth="1"/>
    <col min="102" max="102" width="10" bestFit="1" customWidth="1"/>
    <col min="103" max="103" width="12.21875" bestFit="1" customWidth="1"/>
    <col min="104" max="104" width="27.77734375" bestFit="1" customWidth="1"/>
    <col min="105" max="105" width="28.44140625" bestFit="1" customWidth="1"/>
    <col min="106" max="106" width="31.5546875" bestFit="1" customWidth="1"/>
    <col min="107" max="107" width="11.21875" bestFit="1" customWidth="1"/>
    <col min="108" max="108" width="30.21875" bestFit="1" customWidth="1"/>
    <col min="109" max="109" width="11.5546875" bestFit="1" customWidth="1"/>
    <col min="110" max="110" width="30.21875" bestFit="1" customWidth="1"/>
    <col min="111" max="111" width="11.5546875" bestFit="1" customWidth="1"/>
    <col min="112" max="112" width="39.77734375" bestFit="1" customWidth="1"/>
    <col min="113" max="113" width="11.5546875" bestFit="1" customWidth="1"/>
    <col min="114" max="114" width="30.21875" bestFit="1" customWidth="1"/>
    <col min="115" max="115" width="11.5546875" bestFit="1" customWidth="1"/>
    <col min="116" max="116" width="35.77734375" bestFit="1" customWidth="1"/>
    <col min="117" max="117" width="11.5546875" bestFit="1" customWidth="1"/>
    <col min="118" max="118" width="30.21875" bestFit="1" customWidth="1"/>
    <col min="119" max="119" width="11.5546875" bestFit="1" customWidth="1"/>
    <col min="120" max="120" width="30.21875" bestFit="1" customWidth="1"/>
    <col min="121" max="121" width="11.5546875" bestFit="1" customWidth="1"/>
    <col min="122" max="122" width="30.21875" bestFit="1" customWidth="1"/>
    <col min="123" max="123" width="11.5546875" bestFit="1" customWidth="1"/>
    <col min="124" max="124" width="86.77734375" bestFit="1" customWidth="1"/>
    <col min="125" max="125" width="11.5546875" bestFit="1" customWidth="1"/>
    <col min="126" max="126" width="55.21875" bestFit="1" customWidth="1"/>
    <col min="127" max="127" width="11.5546875" bestFit="1" customWidth="1"/>
    <col min="128" max="128" width="85" bestFit="1" customWidth="1"/>
    <col min="129" max="129" width="11.5546875" bestFit="1" customWidth="1"/>
    <col min="130" max="130" width="92.5546875" bestFit="1" customWidth="1"/>
    <col min="131" max="131" width="11.5546875" bestFit="1" customWidth="1"/>
    <col min="132" max="132" width="85.21875" bestFit="1" customWidth="1"/>
    <col min="133" max="133" width="11.5546875" bestFit="1" customWidth="1"/>
    <col min="134" max="134" width="131.77734375" bestFit="1" customWidth="1"/>
    <col min="135" max="135" width="11.5546875" bestFit="1" customWidth="1"/>
    <col min="136" max="136" width="60.21875" bestFit="1" customWidth="1"/>
    <col min="137" max="137" width="11.5546875" bestFit="1" customWidth="1"/>
    <col min="138" max="138" width="107.21875" bestFit="1" customWidth="1"/>
    <col min="139" max="139" width="11.5546875" bestFit="1" customWidth="1"/>
    <col min="140" max="140" width="66.21875" bestFit="1" customWidth="1"/>
    <col min="141" max="141" width="11.5546875" bestFit="1" customWidth="1"/>
    <col min="142" max="142" width="46.44140625" bestFit="1" customWidth="1"/>
    <col min="143" max="143" width="11.5546875" bestFit="1" customWidth="1"/>
    <col min="144" max="144" width="48.44140625" bestFit="1" customWidth="1"/>
    <col min="145" max="145" width="11.5546875" bestFit="1" customWidth="1"/>
    <col min="146" max="146" width="69.5546875" bestFit="1" customWidth="1"/>
    <col min="147" max="147" width="11.5546875" bestFit="1" customWidth="1"/>
    <col min="148" max="148" width="53" bestFit="1" customWidth="1"/>
    <col min="149" max="149" width="11.5546875" bestFit="1" customWidth="1"/>
    <col min="150" max="150" width="73.77734375" bestFit="1" customWidth="1"/>
    <col min="151" max="151" width="11.5546875" bestFit="1" customWidth="1"/>
    <col min="152" max="152" width="120.77734375" bestFit="1" customWidth="1"/>
    <col min="153" max="153" width="11.5546875" bestFit="1" customWidth="1"/>
    <col min="154" max="154" width="75.21875" bestFit="1" customWidth="1"/>
    <col min="155" max="155" width="11.5546875" bestFit="1" customWidth="1"/>
    <col min="156" max="156" width="126.77734375" bestFit="1" customWidth="1"/>
    <col min="157" max="157" width="11.5546875" bestFit="1" customWidth="1"/>
    <col min="158" max="158" width="125.44140625" bestFit="1" customWidth="1"/>
    <col min="159" max="159" width="11.5546875" bestFit="1" customWidth="1"/>
    <col min="160" max="160" width="54.21875" bestFit="1" customWidth="1"/>
    <col min="161" max="161" width="11.5546875" bestFit="1" customWidth="1"/>
    <col min="162" max="162" width="138.44140625" bestFit="1" customWidth="1"/>
    <col min="163" max="163" width="11.5546875" bestFit="1" customWidth="1"/>
    <col min="164" max="164" width="30.21875" bestFit="1" customWidth="1"/>
    <col min="165" max="165" width="11.5546875" bestFit="1" customWidth="1"/>
    <col min="166" max="166" width="30.21875" bestFit="1" customWidth="1"/>
    <col min="167" max="167" width="11.5546875" bestFit="1" customWidth="1"/>
    <col min="168" max="168" width="36.77734375" bestFit="1" customWidth="1"/>
    <col min="169" max="169" width="11.5546875" bestFit="1" customWidth="1"/>
    <col min="170" max="170" width="30.21875" bestFit="1" customWidth="1"/>
    <col min="171" max="171" width="11.5546875" bestFit="1" customWidth="1"/>
    <col min="172" max="172" width="47.77734375" bestFit="1" customWidth="1"/>
    <col min="173" max="173" width="11.5546875" bestFit="1" customWidth="1"/>
    <col min="174" max="174" width="63" bestFit="1" customWidth="1"/>
    <col min="175" max="175" width="11.5546875" bestFit="1" customWidth="1"/>
    <col min="176" max="176" width="85.5546875" bestFit="1" customWidth="1"/>
    <col min="177" max="177" width="11.5546875" bestFit="1" customWidth="1"/>
    <col min="178" max="178" width="114.44140625" bestFit="1" customWidth="1"/>
    <col min="179" max="179" width="11.5546875" bestFit="1" customWidth="1"/>
    <col min="180" max="180" width="53.77734375" bestFit="1" customWidth="1"/>
    <col min="181" max="181" width="11.5546875" bestFit="1" customWidth="1"/>
    <col min="182" max="182" width="30.21875" bestFit="1" customWidth="1"/>
    <col min="183" max="183" width="11.5546875" bestFit="1" customWidth="1"/>
    <col min="184" max="184" width="37.44140625" bestFit="1" customWidth="1"/>
    <col min="185" max="185" width="11.5546875" bestFit="1" customWidth="1"/>
    <col min="186" max="186" width="60.21875" bestFit="1" customWidth="1"/>
    <col min="187" max="187" width="11.5546875" bestFit="1" customWidth="1"/>
    <col min="188" max="188" width="30.21875" bestFit="1" customWidth="1"/>
    <col min="189" max="189" width="11.5546875" bestFit="1" customWidth="1"/>
    <col min="190" max="190" width="32" bestFit="1" customWidth="1"/>
    <col min="191" max="191" width="11.5546875" bestFit="1" customWidth="1"/>
    <col min="192" max="192" width="30.21875" bestFit="1" customWidth="1"/>
    <col min="193" max="193" width="11.5546875" bestFit="1" customWidth="1"/>
    <col min="194" max="194" width="35.21875" bestFit="1" customWidth="1"/>
    <col min="195" max="195" width="11.5546875" bestFit="1" customWidth="1"/>
    <col min="196" max="196" width="38.77734375" bestFit="1" customWidth="1"/>
    <col min="197" max="197" width="11.5546875" bestFit="1" customWidth="1"/>
    <col min="198" max="198" width="69.44140625" bestFit="1" customWidth="1"/>
    <col min="199" max="199" width="11.5546875" bestFit="1" customWidth="1"/>
    <col min="200" max="200" width="70.77734375" bestFit="1" customWidth="1"/>
    <col min="201" max="201" width="11.5546875" bestFit="1" customWidth="1"/>
    <col min="202" max="202" width="42.21875" bestFit="1" customWidth="1"/>
    <col min="203" max="203" width="11.5546875" bestFit="1" customWidth="1"/>
    <col min="204" max="204" width="30.21875" bestFit="1" customWidth="1"/>
    <col min="205" max="205" width="11.5546875" bestFit="1" customWidth="1"/>
    <col min="206" max="206" width="54.77734375" bestFit="1" customWidth="1"/>
    <col min="207" max="207" width="11.5546875" bestFit="1" customWidth="1"/>
    <col min="208" max="208" width="34.77734375" bestFit="1" customWidth="1"/>
    <col min="209" max="209" width="11.5546875" bestFit="1" customWidth="1"/>
    <col min="210" max="210" width="50.77734375" bestFit="1" customWidth="1"/>
    <col min="211" max="211" width="11.5546875" bestFit="1" customWidth="1"/>
    <col min="212" max="212" width="30.21875" bestFit="1" customWidth="1"/>
    <col min="213" max="213" width="11.5546875" bestFit="1" customWidth="1"/>
    <col min="214" max="214" width="41.44140625" bestFit="1" customWidth="1"/>
    <col min="215" max="215" width="11.5546875" bestFit="1" customWidth="1"/>
    <col min="216" max="216" width="36.21875" bestFit="1" customWidth="1"/>
    <col min="217" max="217" width="11.5546875" bestFit="1" customWidth="1"/>
    <col min="218" max="218" width="30.21875" bestFit="1" customWidth="1"/>
    <col min="219" max="219" width="11.5546875" bestFit="1" customWidth="1"/>
    <col min="220" max="220" width="59.77734375" bestFit="1" customWidth="1"/>
    <col min="221" max="221" width="11.5546875" bestFit="1" customWidth="1"/>
    <col min="222" max="222" width="64" bestFit="1" customWidth="1"/>
    <col min="223" max="223" width="11.5546875" bestFit="1" customWidth="1"/>
    <col min="224" max="224" width="30.21875" bestFit="1" customWidth="1"/>
    <col min="225" max="225" width="11.5546875" bestFit="1" customWidth="1"/>
    <col min="226" max="226" width="30.21875" bestFit="1" customWidth="1"/>
    <col min="227" max="227" width="11.5546875" bestFit="1" customWidth="1"/>
    <col min="228" max="228" width="35.21875" bestFit="1" customWidth="1"/>
    <col min="229" max="229" width="16.5546875" bestFit="1" customWidth="1"/>
    <col min="230" max="230" width="18.21875" bestFit="1" customWidth="1"/>
    <col min="231" max="231" width="29.21875" bestFit="1" customWidth="1"/>
    <col min="232" max="232" width="15.77734375" bestFit="1" customWidth="1"/>
    <col min="233" max="233" width="9.21875" bestFit="1" customWidth="1"/>
    <col min="234" max="234" width="9.77734375" bestFit="1" customWidth="1"/>
    <col min="235" max="235" width="12.44140625" bestFit="1" customWidth="1"/>
    <col min="236" max="236" width="9.21875" bestFit="1" customWidth="1"/>
    <col min="237" max="237" width="9.77734375" bestFit="1" customWidth="1"/>
    <col min="238" max="238" width="22.21875" bestFit="1" customWidth="1"/>
    <col min="239" max="239" width="29.21875" bestFit="1" customWidth="1"/>
    <col min="240" max="240" width="15.77734375" bestFit="1" customWidth="1"/>
    <col min="241" max="241" width="9.21875" bestFit="1" customWidth="1"/>
    <col min="242" max="242" width="9.77734375" bestFit="1" customWidth="1"/>
    <col min="243" max="243" width="22.21875" bestFit="1" customWidth="1"/>
    <col min="244" max="244" width="15.77734375" bestFit="1" customWidth="1"/>
    <col min="245" max="245" width="9.21875" bestFit="1" customWidth="1"/>
    <col min="246" max="246" width="11.77734375" bestFit="1" customWidth="1"/>
    <col min="247" max="247" width="11.21875" bestFit="1" customWidth="1"/>
    <col min="248" max="248" width="9.77734375" bestFit="1" customWidth="1"/>
    <col min="249" max="249" width="24.77734375" bestFit="1" customWidth="1"/>
    <col min="250" max="250" width="22.21875" bestFit="1" customWidth="1"/>
    <col min="251" max="251" width="16.77734375" bestFit="1" customWidth="1"/>
    <col min="252" max="252" width="9.21875" bestFit="1" customWidth="1"/>
    <col min="253" max="253" width="9.77734375" bestFit="1" customWidth="1"/>
    <col min="254" max="254" width="10" bestFit="1" customWidth="1"/>
    <col min="255" max="255" width="18.21875" bestFit="1" customWidth="1"/>
    <col min="256" max="256" width="29.21875" bestFit="1" customWidth="1"/>
    <col min="257" max="257" width="9.77734375" bestFit="1" customWidth="1"/>
    <col min="258" max="258" width="9.21875" bestFit="1" customWidth="1"/>
    <col min="259" max="259" width="9.77734375" bestFit="1" customWidth="1"/>
    <col min="260" max="260" width="11.21875" bestFit="1" customWidth="1"/>
    <col min="261" max="261" width="18.21875" bestFit="1" customWidth="1"/>
    <col min="262" max="262" width="29.21875" bestFit="1" customWidth="1"/>
    <col min="263" max="263" width="9.21875" bestFit="1" customWidth="1"/>
    <col min="264" max="264" width="14.77734375" bestFit="1" customWidth="1"/>
    <col min="265" max="265" width="9.77734375" bestFit="1" customWidth="1"/>
    <col min="266" max="266" width="9.21875" bestFit="1" customWidth="1"/>
    <col min="267" max="267" width="9.77734375" bestFit="1" customWidth="1"/>
    <col min="268" max="268" width="11.21875" bestFit="1" customWidth="1"/>
    <col min="269" max="269" width="9.77734375" bestFit="1" customWidth="1"/>
    <col min="270" max="270" width="29.21875" bestFit="1" customWidth="1"/>
    <col min="271" max="271" width="9.21875" bestFit="1" customWidth="1"/>
    <col min="272" max="272" width="9.77734375" bestFit="1" customWidth="1"/>
    <col min="273" max="273" width="12.44140625" bestFit="1" customWidth="1"/>
    <col min="274" max="274" width="29.21875" bestFit="1" customWidth="1"/>
    <col min="275" max="275" width="9.21875" bestFit="1" customWidth="1"/>
    <col min="276" max="276" width="9.77734375" bestFit="1" customWidth="1"/>
    <col min="277" max="277" width="15.77734375" bestFit="1" customWidth="1"/>
    <col min="278" max="278" width="9.21875" bestFit="1" customWidth="1"/>
    <col min="279" max="279" width="11.21875" bestFit="1" customWidth="1"/>
    <col min="280" max="280" width="9.77734375" bestFit="1" customWidth="1"/>
    <col min="281" max="281" width="24.77734375" bestFit="1" customWidth="1"/>
    <col min="282" max="282" width="16.77734375" bestFit="1" customWidth="1"/>
    <col min="283" max="283" width="15.77734375" bestFit="1" customWidth="1"/>
    <col min="284" max="284" width="9.21875" bestFit="1" customWidth="1"/>
    <col min="285" max="286" width="9.77734375" bestFit="1" customWidth="1"/>
    <col min="287" max="287" width="9.21875" bestFit="1" customWidth="1"/>
    <col min="288" max="288" width="9.77734375" bestFit="1" customWidth="1"/>
    <col min="289" max="289" width="10.21875" bestFit="1" customWidth="1"/>
    <col min="290" max="290" width="9.21875" bestFit="1" customWidth="1"/>
    <col min="291" max="291" width="9.77734375" bestFit="1" customWidth="1"/>
    <col min="292" max="292" width="10.21875" bestFit="1" customWidth="1"/>
    <col min="293" max="293" width="24.5546875" bestFit="1" customWidth="1"/>
    <col min="294" max="294" width="9.77734375" bestFit="1" customWidth="1"/>
    <col min="295" max="295" width="11.77734375" bestFit="1" customWidth="1"/>
    <col min="296" max="296" width="9.21875" bestFit="1" customWidth="1"/>
    <col min="297" max="297" width="10" bestFit="1" customWidth="1"/>
    <col min="298" max="298" width="12.21875" bestFit="1" customWidth="1"/>
    <col min="299" max="299" width="9.77734375" bestFit="1" customWidth="1"/>
    <col min="300" max="300" width="18" bestFit="1" customWidth="1"/>
    <col min="301" max="301" width="9.21875" bestFit="1" customWidth="1"/>
    <col min="302" max="302" width="12.21875" bestFit="1" customWidth="1"/>
    <col min="303" max="303" width="9.77734375" bestFit="1" customWidth="1"/>
    <col min="304" max="304" width="18" bestFit="1" customWidth="1"/>
    <col min="305" max="305" width="9.21875" bestFit="1" customWidth="1"/>
    <col min="306" max="306" width="12.21875" bestFit="1" customWidth="1"/>
    <col min="307" max="307" width="9.77734375" bestFit="1" customWidth="1"/>
    <col min="308" max="308" width="27.77734375" bestFit="1" customWidth="1"/>
    <col min="309" max="309" width="28.44140625" bestFit="1" customWidth="1"/>
    <col min="310" max="310" width="9.77734375" bestFit="1" customWidth="1"/>
    <col min="311" max="311" width="9.21875" bestFit="1" customWidth="1"/>
    <col min="312" max="312" width="9.77734375" bestFit="1" customWidth="1"/>
    <col min="313" max="313" width="31.5546875" bestFit="1" customWidth="1"/>
    <col min="314" max="314" width="11.21875" bestFit="1" customWidth="1"/>
    <col min="315" max="550" width="4" bestFit="1" customWidth="1"/>
    <col min="551" max="551" width="11.21875" bestFit="1" customWidth="1"/>
  </cols>
  <sheetData>
    <row r="2" spans="1:15">
      <c r="A2" s="6" t="s">
        <v>718</v>
      </c>
      <c r="B2" s="6" t="s">
        <v>693</v>
      </c>
    </row>
    <row r="3" spans="1:15">
      <c r="A3" s="6" t="s">
        <v>690</v>
      </c>
      <c r="B3" t="s">
        <v>401</v>
      </c>
      <c r="C3" t="s">
        <v>152</v>
      </c>
      <c r="D3" t="s">
        <v>187</v>
      </c>
      <c r="E3" t="s">
        <v>520</v>
      </c>
      <c r="F3" t="s">
        <v>508</v>
      </c>
      <c r="G3" t="s">
        <v>120</v>
      </c>
      <c r="H3" t="s">
        <v>161</v>
      </c>
      <c r="I3" t="s">
        <v>11</v>
      </c>
      <c r="J3" t="s">
        <v>119</v>
      </c>
      <c r="K3" t="s">
        <v>633</v>
      </c>
      <c r="L3" t="s">
        <v>636</v>
      </c>
      <c r="M3" t="s">
        <v>587</v>
      </c>
      <c r="N3" t="s">
        <v>596</v>
      </c>
      <c r="O3" t="s">
        <v>692</v>
      </c>
    </row>
    <row r="4" spans="1:15">
      <c r="A4" s="7">
        <v>2012</v>
      </c>
      <c r="B4" s="5"/>
      <c r="C4" s="5"/>
      <c r="D4" s="5"/>
      <c r="E4" s="5"/>
      <c r="F4" s="5"/>
      <c r="G4" s="5"/>
      <c r="H4" s="5"/>
      <c r="I4" s="5">
        <v>4</v>
      </c>
      <c r="J4" s="5">
        <v>2</v>
      </c>
      <c r="K4" s="5"/>
      <c r="L4" s="5"/>
      <c r="M4" s="5"/>
      <c r="N4" s="5"/>
      <c r="O4" s="5">
        <v>6</v>
      </c>
    </row>
    <row r="5" spans="1:15">
      <c r="A5" s="7">
        <v>2013</v>
      </c>
      <c r="B5" s="5"/>
      <c r="C5" s="5">
        <v>1</v>
      </c>
      <c r="D5" s="5"/>
      <c r="E5" s="5"/>
      <c r="F5" s="5"/>
      <c r="G5" s="5"/>
      <c r="H5" s="5">
        <v>3</v>
      </c>
      <c r="I5" s="5">
        <v>5</v>
      </c>
      <c r="J5" s="5">
        <v>1</v>
      </c>
      <c r="K5" s="5"/>
      <c r="L5" s="5"/>
      <c r="M5" s="5"/>
      <c r="N5" s="5"/>
      <c r="O5" s="5">
        <v>10</v>
      </c>
    </row>
    <row r="6" spans="1:15">
      <c r="A6" s="7">
        <v>2014</v>
      </c>
      <c r="B6" s="5"/>
      <c r="C6" s="5"/>
      <c r="D6" s="5"/>
      <c r="E6" s="5"/>
      <c r="F6" s="5"/>
      <c r="G6" s="5"/>
      <c r="H6" s="5">
        <v>2</v>
      </c>
      <c r="I6" s="5">
        <v>3</v>
      </c>
      <c r="J6" s="5"/>
      <c r="K6" s="5"/>
      <c r="L6" s="5"/>
      <c r="M6" s="5"/>
      <c r="N6" s="5"/>
      <c r="O6" s="5">
        <v>5</v>
      </c>
    </row>
    <row r="7" spans="1:15">
      <c r="A7" s="7">
        <v>2015</v>
      </c>
      <c r="B7" s="5"/>
      <c r="C7" s="5">
        <v>1</v>
      </c>
      <c r="D7" s="5">
        <v>7</v>
      </c>
      <c r="E7" s="5"/>
      <c r="F7" s="5"/>
      <c r="G7" s="5">
        <v>5</v>
      </c>
      <c r="H7" s="5">
        <v>2</v>
      </c>
      <c r="I7" s="5">
        <v>5</v>
      </c>
      <c r="J7" s="5">
        <v>9</v>
      </c>
      <c r="K7" s="5"/>
      <c r="L7" s="5"/>
      <c r="M7" s="5"/>
      <c r="N7" s="5"/>
      <c r="O7" s="5">
        <v>29</v>
      </c>
    </row>
    <row r="8" spans="1:15">
      <c r="A8" s="7">
        <v>2016</v>
      </c>
      <c r="B8" s="5"/>
      <c r="C8" s="5">
        <v>1</v>
      </c>
      <c r="D8" s="5">
        <v>9</v>
      </c>
      <c r="E8" s="5"/>
      <c r="F8" s="5"/>
      <c r="G8" s="5">
        <v>8</v>
      </c>
      <c r="H8" s="5">
        <v>2</v>
      </c>
      <c r="I8" s="5">
        <v>3</v>
      </c>
      <c r="J8" s="5">
        <v>1</v>
      </c>
      <c r="K8" s="5"/>
      <c r="L8" s="5"/>
      <c r="M8" s="5"/>
      <c r="N8" s="5"/>
      <c r="O8" s="5">
        <v>24</v>
      </c>
    </row>
    <row r="9" spans="1:15">
      <c r="A9" s="7">
        <v>2017</v>
      </c>
      <c r="B9" s="5"/>
      <c r="C9" s="5"/>
      <c r="D9" s="5">
        <v>11</v>
      </c>
      <c r="E9" s="5"/>
      <c r="F9" s="5"/>
      <c r="G9" s="5">
        <v>6</v>
      </c>
      <c r="H9" s="5">
        <v>2</v>
      </c>
      <c r="I9" s="5">
        <v>5</v>
      </c>
      <c r="J9" s="5">
        <v>1</v>
      </c>
      <c r="K9" s="5"/>
      <c r="L9" s="5"/>
      <c r="M9" s="5"/>
      <c r="N9" s="5"/>
      <c r="O9" s="5">
        <v>25</v>
      </c>
    </row>
    <row r="10" spans="1:15">
      <c r="A10" s="7">
        <v>2018</v>
      </c>
      <c r="B10" s="5">
        <v>6</v>
      </c>
      <c r="C10" s="5">
        <v>2</v>
      </c>
      <c r="D10" s="5">
        <v>12</v>
      </c>
      <c r="E10" s="5">
        <v>3</v>
      </c>
      <c r="F10" s="5"/>
      <c r="G10" s="5">
        <v>7</v>
      </c>
      <c r="H10" s="5">
        <v>2</v>
      </c>
      <c r="I10" s="5">
        <v>4</v>
      </c>
      <c r="J10" s="5">
        <v>2</v>
      </c>
      <c r="K10" s="5">
        <v>1</v>
      </c>
      <c r="L10" s="5">
        <v>1</v>
      </c>
      <c r="M10" s="5">
        <v>1</v>
      </c>
      <c r="N10" s="5"/>
      <c r="O10" s="5">
        <v>41</v>
      </c>
    </row>
    <row r="11" spans="1:15">
      <c r="A11" s="7">
        <v>2019</v>
      </c>
      <c r="B11" s="5">
        <v>6</v>
      </c>
      <c r="C11" s="5">
        <v>1</v>
      </c>
      <c r="D11" s="5">
        <v>14</v>
      </c>
      <c r="E11" s="5">
        <v>6</v>
      </c>
      <c r="F11" s="5">
        <v>1</v>
      </c>
      <c r="G11" s="5">
        <v>7</v>
      </c>
      <c r="H11" s="5">
        <v>3</v>
      </c>
      <c r="I11" s="5">
        <v>10</v>
      </c>
      <c r="J11" s="5">
        <v>3</v>
      </c>
      <c r="K11" s="5"/>
      <c r="L11" s="5"/>
      <c r="M11" s="5">
        <v>4</v>
      </c>
      <c r="N11" s="5">
        <v>1</v>
      </c>
      <c r="O11" s="5">
        <v>56</v>
      </c>
    </row>
    <row r="12" spans="1:15">
      <c r="A12" s="7">
        <v>2020</v>
      </c>
      <c r="B12" s="5">
        <v>17</v>
      </c>
      <c r="C12" s="5"/>
      <c r="D12" s="5">
        <v>25</v>
      </c>
      <c r="E12" s="5">
        <v>9</v>
      </c>
      <c r="F12" s="5">
        <v>2</v>
      </c>
      <c r="G12" s="5">
        <v>5</v>
      </c>
      <c r="H12" s="5">
        <v>2</v>
      </c>
      <c r="I12" s="5">
        <v>5</v>
      </c>
      <c r="J12" s="5">
        <v>3</v>
      </c>
      <c r="K12" s="5"/>
      <c r="L12" s="5"/>
      <c r="M12" s="5">
        <v>3</v>
      </c>
      <c r="N12" s="5">
        <v>1</v>
      </c>
      <c r="O12" s="5">
        <v>72</v>
      </c>
    </row>
    <row r="13" spans="1:15">
      <c r="A13" s="7">
        <v>2021</v>
      </c>
      <c r="B13" s="5">
        <v>17</v>
      </c>
      <c r="C13" s="5"/>
      <c r="D13" s="5">
        <v>7</v>
      </c>
      <c r="E13" s="5">
        <v>2</v>
      </c>
      <c r="F13" s="5">
        <v>3</v>
      </c>
      <c r="G13" s="5">
        <v>2</v>
      </c>
      <c r="H13" s="5">
        <v>4</v>
      </c>
      <c r="I13" s="5">
        <v>6</v>
      </c>
      <c r="J13" s="5">
        <v>5</v>
      </c>
      <c r="K13" s="5"/>
      <c r="L13" s="5"/>
      <c r="M13" s="5">
        <v>5</v>
      </c>
      <c r="N13" s="5"/>
      <c r="O13" s="5">
        <v>51</v>
      </c>
    </row>
    <row r="14" spans="1:15">
      <c r="A14" s="7" t="s">
        <v>692</v>
      </c>
      <c r="B14" s="5">
        <v>46</v>
      </c>
      <c r="C14" s="5">
        <v>6</v>
      </c>
      <c r="D14" s="5">
        <v>85</v>
      </c>
      <c r="E14" s="5">
        <v>20</v>
      </c>
      <c r="F14" s="5">
        <v>6</v>
      </c>
      <c r="G14" s="5">
        <v>40</v>
      </c>
      <c r="H14" s="5">
        <v>22</v>
      </c>
      <c r="I14" s="5">
        <v>50</v>
      </c>
      <c r="J14" s="5">
        <v>27</v>
      </c>
      <c r="K14" s="5">
        <v>1</v>
      </c>
      <c r="L14" s="5">
        <v>1</v>
      </c>
      <c r="M14" s="5">
        <v>13</v>
      </c>
      <c r="N14" s="5">
        <v>2</v>
      </c>
      <c r="O14" s="5">
        <v>319</v>
      </c>
    </row>
    <row r="44" spans="13:81">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row>
    <row r="70" spans="13:17">
      <c r="M70" s="6"/>
      <c r="N70" s="6"/>
      <c r="O70" s="6"/>
      <c r="P70" s="6"/>
      <c r="Q70" s="6"/>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36A59-9691-4F76-8CEE-27B4D39FFE17}">
  <sheetPr>
    <tabColor rgb="FF00B0F0"/>
  </sheetPr>
  <dimension ref="A2:H9"/>
  <sheetViews>
    <sheetView workbookViewId="0">
      <selection activeCell="A9" sqref="A9"/>
    </sheetView>
  </sheetViews>
  <sheetFormatPr defaultRowHeight="14.4"/>
  <cols>
    <col min="1" max="1" width="18" bestFit="1" customWidth="1"/>
    <col min="2" max="2" width="16.21875" bestFit="1" customWidth="1"/>
    <col min="3" max="7" width="5" bestFit="1" customWidth="1"/>
    <col min="8" max="8" width="11.21875" bestFit="1" customWidth="1"/>
  </cols>
  <sheetData>
    <row r="2" spans="1:8">
      <c r="A2" s="6" t="s">
        <v>719</v>
      </c>
      <c r="B2" s="6" t="s">
        <v>693</v>
      </c>
    </row>
    <row r="3" spans="1:8">
      <c r="A3" s="6" t="s">
        <v>690</v>
      </c>
      <c r="B3">
        <v>2016</v>
      </c>
      <c r="C3">
        <v>2017</v>
      </c>
      <c r="D3">
        <v>2018</v>
      </c>
      <c r="E3">
        <v>2019</v>
      </c>
      <c r="F3">
        <v>2020</v>
      </c>
      <c r="G3">
        <v>2021</v>
      </c>
      <c r="H3" t="s">
        <v>692</v>
      </c>
    </row>
    <row r="4" spans="1:8">
      <c r="A4" s="7" t="s">
        <v>71</v>
      </c>
      <c r="B4" s="5"/>
      <c r="C4" s="5"/>
      <c r="D4" s="5">
        <v>4</v>
      </c>
      <c r="E4" s="5"/>
      <c r="F4" s="5"/>
      <c r="G4" s="5"/>
      <c r="H4" s="5">
        <v>4</v>
      </c>
    </row>
    <row r="5" spans="1:8">
      <c r="A5" s="7" t="s">
        <v>607</v>
      </c>
      <c r="B5" s="5"/>
      <c r="C5" s="5"/>
      <c r="D5" s="5"/>
      <c r="E5" s="5"/>
      <c r="F5" s="5">
        <v>1</v>
      </c>
      <c r="G5" s="5">
        <v>3</v>
      </c>
      <c r="H5" s="5">
        <v>4</v>
      </c>
    </row>
    <row r="6" spans="1:8">
      <c r="A6" s="7" t="s">
        <v>647</v>
      </c>
      <c r="B6" s="5"/>
      <c r="C6" s="5"/>
      <c r="D6" s="5"/>
      <c r="E6" s="5"/>
      <c r="F6" s="5"/>
      <c r="G6" s="5">
        <v>1</v>
      </c>
      <c r="H6" s="5">
        <v>1</v>
      </c>
    </row>
    <row r="7" spans="1:8">
      <c r="A7" s="7" t="s">
        <v>13</v>
      </c>
      <c r="B7" s="5"/>
      <c r="C7" s="5">
        <v>1</v>
      </c>
      <c r="D7" s="5"/>
      <c r="E7" s="5">
        <v>1</v>
      </c>
      <c r="F7" s="5"/>
      <c r="G7" s="5">
        <v>2</v>
      </c>
      <c r="H7" s="5">
        <v>4</v>
      </c>
    </row>
    <row r="8" spans="1:8">
      <c r="A8" s="7" t="s">
        <v>721</v>
      </c>
      <c r="B8" s="5">
        <v>1</v>
      </c>
      <c r="C8" s="5"/>
      <c r="D8" s="5"/>
      <c r="E8" s="5"/>
      <c r="F8" s="5"/>
      <c r="G8" s="5"/>
      <c r="H8" s="5">
        <v>1</v>
      </c>
    </row>
    <row r="9" spans="1:8">
      <c r="A9" s="7" t="s">
        <v>692</v>
      </c>
      <c r="B9" s="5">
        <v>1</v>
      </c>
      <c r="C9" s="5">
        <v>1</v>
      </c>
      <c r="D9" s="5">
        <v>4</v>
      </c>
      <c r="E9" s="5">
        <v>1</v>
      </c>
      <c r="F9" s="5">
        <v>1</v>
      </c>
      <c r="G9" s="5">
        <v>6</v>
      </c>
      <c r="H9" s="5">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F0679-C0E3-42E6-9D02-0C2990B32B6B}">
  <sheetPr>
    <tabColor rgb="FF00B0F0"/>
  </sheetPr>
  <dimension ref="A3:I29"/>
  <sheetViews>
    <sheetView workbookViewId="0">
      <selection activeCell="A5" sqref="A5"/>
    </sheetView>
  </sheetViews>
  <sheetFormatPr defaultColWidth="9" defaultRowHeight="14.4"/>
  <cols>
    <col min="1" max="1" width="59.77734375" bestFit="1" customWidth="1"/>
    <col min="2" max="2" width="16.21875" bestFit="1" customWidth="1"/>
    <col min="3" max="8" width="5" bestFit="1" customWidth="1"/>
    <col min="9" max="9" width="11.21875" bestFit="1" customWidth="1"/>
  </cols>
  <sheetData>
    <row r="3" spans="1:9">
      <c r="A3" s="6" t="s">
        <v>691</v>
      </c>
      <c r="B3" s="6" t="s">
        <v>693</v>
      </c>
    </row>
    <row r="4" spans="1:9">
      <c r="A4" s="6" t="s">
        <v>690</v>
      </c>
      <c r="B4">
        <v>2015</v>
      </c>
      <c r="C4">
        <v>2016</v>
      </c>
      <c r="D4">
        <v>2017</v>
      </c>
      <c r="E4">
        <v>2018</v>
      </c>
      <c r="F4">
        <v>2019</v>
      </c>
      <c r="G4">
        <v>2020</v>
      </c>
      <c r="H4">
        <v>2021</v>
      </c>
      <c r="I4" t="s">
        <v>692</v>
      </c>
    </row>
    <row r="5" spans="1:9">
      <c r="A5" s="7" t="s">
        <v>678</v>
      </c>
      <c r="B5" s="5">
        <v>1</v>
      </c>
      <c r="C5" s="5"/>
      <c r="D5" s="5"/>
      <c r="E5" s="5"/>
      <c r="F5" s="5"/>
      <c r="G5" s="5"/>
      <c r="H5" s="5"/>
      <c r="I5" s="5">
        <v>1</v>
      </c>
    </row>
    <row r="6" spans="1:9">
      <c r="A6" s="7" t="s">
        <v>655</v>
      </c>
      <c r="B6" s="5"/>
      <c r="C6" s="5"/>
      <c r="D6" s="5"/>
      <c r="E6" s="5"/>
      <c r="F6" s="5"/>
      <c r="G6" s="5"/>
      <c r="H6" s="5">
        <v>1</v>
      </c>
      <c r="I6" s="5">
        <v>1</v>
      </c>
    </row>
    <row r="7" spans="1:9">
      <c r="A7" s="7" t="s">
        <v>676</v>
      </c>
      <c r="B7" s="5">
        <v>1</v>
      </c>
      <c r="C7" s="5"/>
      <c r="D7" s="5"/>
      <c r="E7" s="5"/>
      <c r="F7" s="5"/>
      <c r="G7" s="5"/>
      <c r="H7" s="5"/>
      <c r="I7" s="5">
        <v>1</v>
      </c>
    </row>
    <row r="8" spans="1:9">
      <c r="A8" s="7" t="s">
        <v>670</v>
      </c>
      <c r="B8" s="5"/>
      <c r="C8" s="5"/>
      <c r="D8" s="5">
        <v>1</v>
      </c>
      <c r="E8" s="5"/>
      <c r="F8" s="5"/>
      <c r="G8" s="5"/>
      <c r="H8" s="5"/>
      <c r="I8" s="5">
        <v>1</v>
      </c>
    </row>
    <row r="9" spans="1:9">
      <c r="A9" s="7" t="s">
        <v>671</v>
      </c>
      <c r="B9" s="5"/>
      <c r="C9" s="5"/>
      <c r="D9" s="5">
        <v>1</v>
      </c>
      <c r="E9" s="5"/>
      <c r="F9" s="5"/>
      <c r="G9" s="5"/>
      <c r="H9" s="5"/>
      <c r="I9" s="5">
        <v>1</v>
      </c>
    </row>
    <row r="10" spans="1:9">
      <c r="A10" s="7" t="s">
        <v>651</v>
      </c>
      <c r="B10" s="5"/>
      <c r="C10" s="5"/>
      <c r="D10" s="5"/>
      <c r="E10" s="5"/>
      <c r="F10" s="5"/>
      <c r="G10" s="5"/>
      <c r="H10" s="5">
        <v>1</v>
      </c>
      <c r="I10" s="5">
        <v>1</v>
      </c>
    </row>
    <row r="11" spans="1:9">
      <c r="A11" s="7" t="s">
        <v>668</v>
      </c>
      <c r="B11" s="5"/>
      <c r="C11" s="5"/>
      <c r="D11" s="5"/>
      <c r="E11" s="5">
        <v>1</v>
      </c>
      <c r="F11" s="5"/>
      <c r="G11" s="5"/>
      <c r="H11" s="5"/>
      <c r="I11" s="5">
        <v>1</v>
      </c>
    </row>
    <row r="12" spans="1:9">
      <c r="A12" s="7" t="s">
        <v>665</v>
      </c>
      <c r="B12" s="5"/>
      <c r="C12" s="5"/>
      <c r="D12" s="5"/>
      <c r="E12" s="5">
        <v>1</v>
      </c>
      <c r="F12" s="5"/>
      <c r="G12" s="5"/>
      <c r="H12" s="5"/>
      <c r="I12" s="5">
        <v>1</v>
      </c>
    </row>
    <row r="13" spans="1:9">
      <c r="A13" s="7" t="s">
        <v>664</v>
      </c>
      <c r="B13" s="5"/>
      <c r="C13" s="5"/>
      <c r="D13" s="5"/>
      <c r="E13" s="5">
        <v>1</v>
      </c>
      <c r="F13" s="5"/>
      <c r="G13" s="5"/>
      <c r="H13" s="5"/>
      <c r="I13" s="5">
        <v>1</v>
      </c>
    </row>
    <row r="14" spans="1:9">
      <c r="A14" s="7" t="s">
        <v>675</v>
      </c>
      <c r="B14" s="5"/>
      <c r="C14" s="5">
        <v>1</v>
      </c>
      <c r="D14" s="5"/>
      <c r="E14" s="5"/>
      <c r="F14" s="5"/>
      <c r="G14" s="5"/>
      <c r="H14" s="5"/>
      <c r="I14" s="5">
        <v>1</v>
      </c>
    </row>
    <row r="15" spans="1:9">
      <c r="A15" s="7" t="s">
        <v>660</v>
      </c>
      <c r="B15" s="5"/>
      <c r="C15" s="5"/>
      <c r="D15" s="5"/>
      <c r="E15" s="5"/>
      <c r="F15" s="5">
        <v>1</v>
      </c>
      <c r="G15" s="5"/>
      <c r="H15" s="5"/>
      <c r="I15" s="5">
        <v>1</v>
      </c>
    </row>
    <row r="16" spans="1:9">
      <c r="A16" s="7" t="s">
        <v>669</v>
      </c>
      <c r="B16" s="5"/>
      <c r="C16" s="5"/>
      <c r="D16" s="5"/>
      <c r="E16" s="5">
        <v>1</v>
      </c>
      <c r="F16" s="5"/>
      <c r="G16" s="5"/>
      <c r="H16" s="5"/>
      <c r="I16" s="5">
        <v>1</v>
      </c>
    </row>
    <row r="17" spans="1:9">
      <c r="A17" s="7" t="s">
        <v>662</v>
      </c>
      <c r="B17" s="5"/>
      <c r="C17" s="5"/>
      <c r="D17" s="5"/>
      <c r="E17" s="5"/>
      <c r="F17" s="5">
        <v>1</v>
      </c>
      <c r="G17" s="5"/>
      <c r="H17" s="5"/>
      <c r="I17" s="5">
        <v>1</v>
      </c>
    </row>
    <row r="18" spans="1:9">
      <c r="A18" s="7" t="s">
        <v>661</v>
      </c>
      <c r="B18" s="5"/>
      <c r="C18" s="5"/>
      <c r="D18" s="5"/>
      <c r="E18" s="5"/>
      <c r="F18" s="5">
        <v>1</v>
      </c>
      <c r="G18" s="5"/>
      <c r="H18" s="5"/>
      <c r="I18" s="5">
        <v>1</v>
      </c>
    </row>
    <row r="19" spans="1:9">
      <c r="A19" s="7" t="s">
        <v>674</v>
      </c>
      <c r="B19" s="5"/>
      <c r="C19" s="5">
        <v>1</v>
      </c>
      <c r="D19" s="5"/>
      <c r="E19" s="5"/>
      <c r="F19" s="5"/>
      <c r="G19" s="5"/>
      <c r="H19" s="5"/>
      <c r="I19" s="5">
        <v>1</v>
      </c>
    </row>
    <row r="20" spans="1:9">
      <c r="A20" s="7" t="s">
        <v>677</v>
      </c>
      <c r="B20" s="5">
        <v>1</v>
      </c>
      <c r="C20" s="5"/>
      <c r="D20" s="5"/>
      <c r="E20" s="5"/>
      <c r="F20" s="5"/>
      <c r="G20" s="5"/>
      <c r="H20" s="5"/>
      <c r="I20" s="5">
        <v>1</v>
      </c>
    </row>
    <row r="21" spans="1:9">
      <c r="A21" s="7" t="s">
        <v>511</v>
      </c>
      <c r="B21" s="5"/>
      <c r="C21" s="5"/>
      <c r="D21" s="5">
        <v>1</v>
      </c>
      <c r="E21" s="5"/>
      <c r="F21" s="5"/>
      <c r="G21" s="5"/>
      <c r="H21" s="5"/>
      <c r="I21" s="5">
        <v>1</v>
      </c>
    </row>
    <row r="22" spans="1:9">
      <c r="A22" s="7" t="s">
        <v>672</v>
      </c>
      <c r="B22" s="5"/>
      <c r="C22" s="5"/>
      <c r="D22" s="5">
        <v>1</v>
      </c>
      <c r="E22" s="5"/>
      <c r="F22" s="5"/>
      <c r="G22" s="5"/>
      <c r="H22" s="5"/>
      <c r="I22" s="5">
        <v>1</v>
      </c>
    </row>
    <row r="23" spans="1:9">
      <c r="A23" s="7" t="s">
        <v>658</v>
      </c>
      <c r="B23" s="5"/>
      <c r="C23" s="5"/>
      <c r="D23" s="5"/>
      <c r="E23" s="5"/>
      <c r="F23" s="5"/>
      <c r="G23" s="5">
        <v>1</v>
      </c>
      <c r="H23" s="5"/>
      <c r="I23" s="5">
        <v>1</v>
      </c>
    </row>
    <row r="24" spans="1:9">
      <c r="A24" s="7" t="s">
        <v>667</v>
      </c>
      <c r="B24" s="5"/>
      <c r="C24" s="5"/>
      <c r="D24" s="5"/>
      <c r="E24" s="5">
        <v>1</v>
      </c>
      <c r="F24" s="5"/>
      <c r="G24" s="5"/>
      <c r="H24" s="5"/>
      <c r="I24" s="5">
        <v>1</v>
      </c>
    </row>
    <row r="25" spans="1:9">
      <c r="A25" s="7" t="s">
        <v>666</v>
      </c>
      <c r="B25" s="5"/>
      <c r="C25" s="5"/>
      <c r="D25" s="5"/>
      <c r="E25" s="5">
        <v>1</v>
      </c>
      <c r="F25" s="5"/>
      <c r="G25" s="5"/>
      <c r="H25" s="5"/>
      <c r="I25" s="5">
        <v>1</v>
      </c>
    </row>
    <row r="26" spans="1:9">
      <c r="A26" s="7" t="s">
        <v>657</v>
      </c>
      <c r="B26" s="5"/>
      <c r="C26" s="5"/>
      <c r="D26" s="5"/>
      <c r="E26" s="5"/>
      <c r="F26" s="5"/>
      <c r="G26" s="5">
        <v>1</v>
      </c>
      <c r="H26" s="5"/>
      <c r="I26" s="5">
        <v>1</v>
      </c>
    </row>
    <row r="27" spans="1:9">
      <c r="A27" s="7" t="s">
        <v>659</v>
      </c>
      <c r="B27" s="5"/>
      <c r="C27" s="5"/>
      <c r="D27" s="5"/>
      <c r="E27" s="5"/>
      <c r="F27" s="5"/>
      <c r="G27" s="5">
        <v>1</v>
      </c>
      <c r="H27" s="5"/>
      <c r="I27" s="5">
        <v>1</v>
      </c>
    </row>
    <row r="28" spans="1:9">
      <c r="A28" s="7" t="s">
        <v>653</v>
      </c>
      <c r="B28" s="5"/>
      <c r="C28" s="5"/>
      <c r="D28" s="5"/>
      <c r="E28" s="5"/>
      <c r="F28" s="5"/>
      <c r="G28" s="5"/>
      <c r="H28" s="5">
        <v>1</v>
      </c>
      <c r="I28" s="5">
        <v>1</v>
      </c>
    </row>
    <row r="29" spans="1:9">
      <c r="A29" s="7" t="s">
        <v>692</v>
      </c>
      <c r="B29" s="5">
        <v>3</v>
      </c>
      <c r="C29" s="5">
        <v>2</v>
      </c>
      <c r="D29" s="5">
        <v>4</v>
      </c>
      <c r="E29" s="5">
        <v>6</v>
      </c>
      <c r="F29" s="5">
        <v>3</v>
      </c>
      <c r="G29" s="5">
        <v>3</v>
      </c>
      <c r="H29" s="5">
        <v>3</v>
      </c>
      <c r="I29" s="5">
        <v>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73C4B-6BC8-4896-BD1A-E488F1853CAE}">
  <sheetPr>
    <tabColor theme="9"/>
  </sheetPr>
  <dimension ref="A3:L171"/>
  <sheetViews>
    <sheetView zoomScale="80" zoomScaleNormal="80" workbookViewId="0">
      <selection activeCell="M70" sqref="M70"/>
    </sheetView>
  </sheetViews>
  <sheetFormatPr defaultRowHeight="14.4"/>
  <cols>
    <col min="1" max="1" width="59.77734375" bestFit="1" customWidth="1"/>
    <col min="3" max="3" width="11.77734375" customWidth="1"/>
    <col min="4" max="4" width="10.44140625" customWidth="1"/>
    <col min="7" max="7" width="19" customWidth="1"/>
    <col min="8" max="8" width="9.44140625" customWidth="1"/>
    <col min="14" max="14" width="26.21875" bestFit="1" customWidth="1"/>
  </cols>
  <sheetData>
    <row r="3" spans="1:12" ht="25.8">
      <c r="A3" s="81" t="s">
        <v>695</v>
      </c>
      <c r="B3" s="81"/>
      <c r="C3" s="81"/>
      <c r="D3" s="81"/>
      <c r="E3" s="81"/>
      <c r="F3" s="81"/>
      <c r="G3" s="81"/>
      <c r="H3" s="81"/>
      <c r="I3" s="81"/>
      <c r="J3" s="81"/>
      <c r="K3" s="81"/>
      <c r="L3" s="81"/>
    </row>
    <row r="4" spans="1:12">
      <c r="A4" s="17" t="s">
        <v>701</v>
      </c>
      <c r="B4" s="18"/>
      <c r="C4" s="18"/>
      <c r="D4" s="18"/>
      <c r="E4" s="18"/>
      <c r="F4" s="18"/>
      <c r="G4" s="18"/>
      <c r="H4" s="18"/>
      <c r="I4" s="18"/>
      <c r="J4" s="18"/>
      <c r="K4" s="19"/>
    </row>
    <row r="5" spans="1:12">
      <c r="A5" s="41" t="s">
        <v>5</v>
      </c>
      <c r="B5" s="25" t="s">
        <v>11</v>
      </c>
      <c r="C5" s="25" t="s">
        <v>119</v>
      </c>
      <c r="D5" s="25" t="s">
        <v>152</v>
      </c>
      <c r="E5" s="25" t="s">
        <v>161</v>
      </c>
      <c r="F5" s="25" t="s">
        <v>187</v>
      </c>
      <c r="G5" s="25" t="s">
        <v>401</v>
      </c>
      <c r="H5" s="25" t="s">
        <v>696</v>
      </c>
      <c r="I5" s="24" t="s">
        <v>491</v>
      </c>
      <c r="J5" s="24" t="s">
        <v>496</v>
      </c>
      <c r="K5" s="42" t="s">
        <v>697</v>
      </c>
    </row>
    <row r="6" spans="1:12" hidden="1">
      <c r="A6" s="36">
        <f>'Local HTA submissions'!AG12</f>
        <v>0</v>
      </c>
      <c r="B6" s="21">
        <f>COUNTIFS('Local HTA submissions'!$H:$H,'By year'!$A6,'Local HTA submissions'!$C:$C,'By year'!B$5)</f>
        <v>0</v>
      </c>
      <c r="C6" s="21">
        <f>COUNTIFS('Local HTA submissions'!$H:$H,'By year'!$A6,'Local HTA submissions'!$C:$C,'By year'!C$5)</f>
        <v>0</v>
      </c>
      <c r="D6" s="21">
        <f>COUNTIFS('Local HTA submissions'!$H:$H,'By year'!$A6,'Local HTA submissions'!$C:$C,'By year'!D$5)</f>
        <v>0</v>
      </c>
      <c r="E6" s="21">
        <f>COUNTIFS('Local HTA submissions'!$H:$H,'By year'!$A6,'Local HTA submissions'!$C:$C,'By year'!E$5)</f>
        <v>0</v>
      </c>
      <c r="F6" s="21">
        <f>COUNTIFS('Local HTA submissions'!$H:$H,'By year'!$A6,'Local HTA submissions'!$C:$C,'By year'!F$5)</f>
        <v>0</v>
      </c>
      <c r="G6" s="21">
        <f>COUNTIFS('Local HTA submissions'!$H:$H,'By year'!$A6,'Local HTA submissions'!$C:$C,'By year'!G$5)</f>
        <v>0</v>
      </c>
      <c r="H6" s="21">
        <f>COUNTIFS('Local HTA submissions'!$H:$H,'By year'!$A6,'Local HTA submissions'!$C:$C,'By year'!H$5)</f>
        <v>0</v>
      </c>
      <c r="I6" s="21">
        <f>COUNTIFS('Local HTA submissions'!$H:$H,'By year'!$A6,'Local HTA submissions'!$C:$C,'By year'!I$5)</f>
        <v>0</v>
      </c>
      <c r="J6" s="21">
        <f>COUNTIFS('Local HTA submissions'!$H:$H,'By year'!$A6,'Local HTA submissions'!$C:$C,'By year'!J$5)</f>
        <v>0</v>
      </c>
      <c r="K6" s="37">
        <f t="shared" ref="K6:K18" si="0">SUM(B6:J6)</f>
        <v>0</v>
      </c>
    </row>
    <row r="7" spans="1:12">
      <c r="A7" s="36">
        <f>'Local HTA submissions'!AG11</f>
        <v>2012</v>
      </c>
      <c r="B7" s="21">
        <f>COUNTIFS('Local HTA submissions'!$H:$H,'By year'!$A7,'Local HTA submissions'!$C:$C,'By year'!B$5)</f>
        <v>4</v>
      </c>
      <c r="C7" s="21">
        <f>COUNTIFS('Local HTA submissions'!$H:$H,'By year'!$A7,'Local HTA submissions'!$C:$C,'By year'!C$5)</f>
        <v>2</v>
      </c>
      <c r="D7" s="21">
        <f>COUNTIFS('Local HTA submissions'!$H:$H,'By year'!$A7,'Local HTA submissions'!$C:$C,'By year'!D$5)</f>
        <v>0</v>
      </c>
      <c r="E7" s="21">
        <f>COUNTIFS('Local HTA submissions'!$H:$H,'By year'!$A7,'Local HTA submissions'!$C:$C,'By year'!E$5)</f>
        <v>0</v>
      </c>
      <c r="F7" s="21">
        <f>COUNTIFS('Local HTA submissions'!$H:$H,'By year'!$A7,'Local HTA submissions'!$C:$C,'By year'!F$5)</f>
        <v>0</v>
      </c>
      <c r="G7" s="21">
        <f>COUNTIFS('Local HTA submissions'!$H:$H,'By year'!$A7,'Local HTA submissions'!$C:$C,'By year'!G$5)</f>
        <v>0</v>
      </c>
      <c r="H7" s="21">
        <f>COUNTIFS('Local HTA submissions'!$H:$H,'By year'!$A7,'Local HTA submissions'!$C:$C,'By year'!H$5)</f>
        <v>0</v>
      </c>
      <c r="I7" s="21">
        <f>COUNTIFS('Local HTA submissions'!$H:$H,'By year'!$A7,'Local HTA submissions'!$C:$C,'By year'!I$5)</f>
        <v>0</v>
      </c>
      <c r="J7" s="21">
        <f>COUNTIFS('Local HTA submissions'!$H:$H,'By year'!$A7,'Local HTA submissions'!$C:$C,'By year'!J$5)</f>
        <v>0</v>
      </c>
      <c r="K7" s="37">
        <f t="shared" si="0"/>
        <v>6</v>
      </c>
    </row>
    <row r="8" spans="1:12">
      <c r="A8" s="36">
        <f>'Local HTA submissions'!AG10</f>
        <v>2013</v>
      </c>
      <c r="B8" s="21">
        <f>COUNTIFS('Local HTA submissions'!$H:$H,'By year'!$A8,'Local HTA submissions'!$C:$C,'By year'!B$5)</f>
        <v>5</v>
      </c>
      <c r="C8" s="21">
        <f>COUNTIFS('Local HTA submissions'!$H:$H,'By year'!$A8,'Local HTA submissions'!$C:$C,'By year'!C$5)</f>
        <v>1</v>
      </c>
      <c r="D8" s="21">
        <f>COUNTIFS('Local HTA submissions'!$H:$H,'By year'!$A8,'Local HTA submissions'!$C:$C,'By year'!D$5)</f>
        <v>1</v>
      </c>
      <c r="E8" s="21">
        <f>COUNTIFS('Local HTA submissions'!$H:$H,'By year'!$A8,'Local HTA submissions'!$C:$C,'By year'!E$5)</f>
        <v>3</v>
      </c>
      <c r="F8" s="21">
        <f>COUNTIFS('Local HTA submissions'!$H:$H,'By year'!$A8,'Local HTA submissions'!$C:$C,'By year'!F$5)</f>
        <v>0</v>
      </c>
      <c r="G8" s="21">
        <f>COUNTIFS('Local HTA submissions'!$H:$H,'By year'!$A8,'Local HTA submissions'!$C:$C,'By year'!G$5)</f>
        <v>0</v>
      </c>
      <c r="H8" s="21">
        <f>COUNTIFS('Local HTA submissions'!$H:$H,'By year'!$A8,'Local HTA submissions'!$C:$C,'By year'!H$5)</f>
        <v>0</v>
      </c>
      <c r="I8" s="21">
        <f>COUNTIFS('Local HTA submissions'!$H:$H,'By year'!$A8,'Local HTA submissions'!$C:$C,'By year'!I$5)</f>
        <v>0</v>
      </c>
      <c r="J8" s="21">
        <f>COUNTIFS('Local HTA submissions'!$H:$H,'By year'!$A8,'Local HTA submissions'!$C:$C,'By year'!J$5)</f>
        <v>0</v>
      </c>
      <c r="K8" s="37">
        <f t="shared" si="0"/>
        <v>10</v>
      </c>
    </row>
    <row r="9" spans="1:12">
      <c r="A9" s="36">
        <f>'Local HTA submissions'!AG9</f>
        <v>2014</v>
      </c>
      <c r="B9" s="21">
        <f>COUNTIFS('Local HTA submissions'!$H:$H,'By year'!$A9,'Local HTA submissions'!$C:$C,'By year'!B$5)</f>
        <v>3</v>
      </c>
      <c r="C9" s="21">
        <f>COUNTIFS('Local HTA submissions'!$H:$H,'By year'!$A9,'Local HTA submissions'!$C:$C,'By year'!C$5)</f>
        <v>0</v>
      </c>
      <c r="D9" s="21">
        <f>COUNTIFS('Local HTA submissions'!$H:$H,'By year'!$A9,'Local HTA submissions'!$C:$C,'By year'!D$5)</f>
        <v>0</v>
      </c>
      <c r="E9" s="21">
        <f>COUNTIFS('Local HTA submissions'!$H:$H,'By year'!$A9,'Local HTA submissions'!$C:$C,'By year'!E$5)</f>
        <v>2</v>
      </c>
      <c r="F9" s="21">
        <f>COUNTIFS('Local HTA submissions'!$H:$H,'By year'!$A9,'Local HTA submissions'!$C:$C,'By year'!F$5)</f>
        <v>0</v>
      </c>
      <c r="G9" s="21">
        <f>COUNTIFS('Local HTA submissions'!$H:$H,'By year'!$A9,'Local HTA submissions'!$C:$C,'By year'!G$5)</f>
        <v>0</v>
      </c>
      <c r="H9" s="21">
        <f>COUNTIFS('Local HTA submissions'!$H:$H,'By year'!$A9,'Local HTA submissions'!$C:$C,'By year'!H$5)</f>
        <v>0</v>
      </c>
      <c r="I9" s="21">
        <f>COUNTIFS('Local HTA submissions'!$H:$H,'By year'!$A9,'Local HTA submissions'!$C:$C,'By year'!I$5)</f>
        <v>0</v>
      </c>
      <c r="J9" s="21">
        <f>COUNTIFS('Local HTA submissions'!$H:$H,'By year'!$A9,'Local HTA submissions'!$C:$C,'By year'!J$5)</f>
        <v>0</v>
      </c>
      <c r="K9" s="37">
        <f t="shared" si="0"/>
        <v>5</v>
      </c>
    </row>
    <row r="10" spans="1:12">
      <c r="A10" s="36">
        <f>'Local HTA submissions'!AG8</f>
        <v>2015</v>
      </c>
      <c r="B10" s="21">
        <f>COUNTIFS('Local HTA submissions'!$H:$H,'By year'!$A10,'Local HTA submissions'!$C:$C,'By year'!B$5)</f>
        <v>5</v>
      </c>
      <c r="C10" s="21">
        <f>COUNTIFS('Local HTA submissions'!$H:$H,'By year'!$A10,'Local HTA submissions'!$C:$C,'By year'!C$5)</f>
        <v>9</v>
      </c>
      <c r="D10" s="21">
        <f>COUNTIFS('Local HTA submissions'!$H:$H,'By year'!$A10,'Local HTA submissions'!$C:$C,'By year'!D$5)</f>
        <v>1</v>
      </c>
      <c r="E10" s="21">
        <f>COUNTIFS('Local HTA submissions'!$H:$H,'By year'!$A10,'Local HTA submissions'!$C:$C,'By year'!E$5)</f>
        <v>2</v>
      </c>
      <c r="F10" s="21">
        <f>COUNTIFS('Local HTA submissions'!$H:$H,'By year'!$A10,'Local HTA submissions'!$C:$C,'By year'!F$5)</f>
        <v>7</v>
      </c>
      <c r="G10" s="21">
        <f>COUNTIFS('Local HTA submissions'!$H:$H,'By year'!$A10,'Local HTA submissions'!$C:$C,'By year'!G$5)</f>
        <v>0</v>
      </c>
      <c r="H10" s="21">
        <f>COUNTIFS('Local HTA submissions'!$H:$H,'By year'!$A10,'Local HTA submissions'!$C:$C,'By year'!H$5)</f>
        <v>0</v>
      </c>
      <c r="I10" s="21">
        <v>5</v>
      </c>
      <c r="J10" s="21">
        <v>36</v>
      </c>
      <c r="K10" s="37">
        <f t="shared" si="0"/>
        <v>65</v>
      </c>
    </row>
    <row r="11" spans="1:12">
      <c r="A11" s="36">
        <f>'Local HTA submissions'!AG7</f>
        <v>2016</v>
      </c>
      <c r="B11" s="21">
        <f>COUNTIFS('Local HTA submissions'!$H:$H,'By year'!$A11,'Local HTA submissions'!$C:$C,'By year'!B$5)</f>
        <v>3</v>
      </c>
      <c r="C11" s="21">
        <f>COUNTIFS('Local HTA submissions'!$H:$H,'By year'!$A11,'Local HTA submissions'!$C:$C,'By year'!C$5)</f>
        <v>1</v>
      </c>
      <c r="D11" s="21">
        <f>COUNTIFS('Local HTA submissions'!$H:$H,'By year'!$A11,'Local HTA submissions'!$C:$C,'By year'!D$5)</f>
        <v>1</v>
      </c>
      <c r="E11" s="21">
        <f>COUNTIFS('Local HTA submissions'!$H:$H,'By year'!$A11,'Local HTA submissions'!$C:$C,'By year'!E$5)</f>
        <v>2</v>
      </c>
      <c r="F11" s="21">
        <f>COUNTIFS('Local HTA submissions'!$H:$H,'By year'!$A11,'Local HTA submissions'!$C:$C,'By year'!F$5)</f>
        <v>9</v>
      </c>
      <c r="G11" s="21">
        <f>COUNTIFS('Local HTA submissions'!$H:$H,'By year'!$A11,'Local HTA submissions'!$C:$C,'By year'!G$5)</f>
        <v>0</v>
      </c>
      <c r="H11" s="21">
        <f>COUNTIFS('Local HTA submissions'!$H:$H,'By year'!$A11,'Local HTA submissions'!$C:$C,'By year'!H$5)</f>
        <v>0</v>
      </c>
      <c r="I11" s="21">
        <v>9</v>
      </c>
      <c r="J11" s="21">
        <v>31</v>
      </c>
      <c r="K11" s="37">
        <f t="shared" si="0"/>
        <v>56</v>
      </c>
    </row>
    <row r="12" spans="1:12">
      <c r="A12" s="36">
        <f>'Local HTA submissions'!AG6</f>
        <v>2017</v>
      </c>
      <c r="B12" s="21">
        <f>COUNTIFS('Local HTA submissions'!$H:$H,'By year'!$A12,'Local HTA submissions'!$C:$C,'By year'!B$5)</f>
        <v>5</v>
      </c>
      <c r="C12" s="21">
        <f>COUNTIFS('Local HTA submissions'!$H:$H,'By year'!$A12,'Local HTA submissions'!$C:$C,'By year'!C$5)</f>
        <v>1</v>
      </c>
      <c r="D12" s="21">
        <f>COUNTIFS('Local HTA submissions'!$H:$H,'By year'!$A12,'Local HTA submissions'!$C:$C,'By year'!D$5)</f>
        <v>0</v>
      </c>
      <c r="E12" s="21">
        <f>COUNTIFS('Local HTA submissions'!$H:$H,'By year'!$A12,'Local HTA submissions'!$C:$C,'By year'!E$5)</f>
        <v>2</v>
      </c>
      <c r="F12" s="21">
        <f>COUNTIFS('Local HTA submissions'!$H:$H,'By year'!$A12,'Local HTA submissions'!$C:$C,'By year'!F$5)</f>
        <v>11</v>
      </c>
      <c r="G12" s="21">
        <f>COUNTIFS('Local HTA submissions'!$H:$H,'By year'!$A12,'Local HTA submissions'!$C:$C,'By year'!G$5)</f>
        <v>0</v>
      </c>
      <c r="H12" s="21">
        <f>COUNTIFS('Local HTA submissions'!$H:$H,'By year'!$A12,'Local HTA submissions'!$C:$C,'By year'!H$5)</f>
        <v>0</v>
      </c>
      <c r="I12" s="21">
        <v>6</v>
      </c>
      <c r="J12" s="21">
        <v>22</v>
      </c>
      <c r="K12" s="37">
        <f t="shared" si="0"/>
        <v>47</v>
      </c>
    </row>
    <row r="13" spans="1:12">
      <c r="A13" s="36">
        <f>'Local HTA submissions'!AG5</f>
        <v>2018</v>
      </c>
      <c r="B13" s="21">
        <f>COUNTIFS('Local HTA submissions'!$H:$H,'By year'!$A13,'Local HTA submissions'!$C:$C,'By year'!B$5)</f>
        <v>4</v>
      </c>
      <c r="C13" s="21">
        <f>COUNTIFS('Local HTA submissions'!$H:$H,'By year'!$A13,'Local HTA submissions'!$C:$C,'By year'!C$5)</f>
        <v>2</v>
      </c>
      <c r="D13" s="21">
        <f>COUNTIFS('Local HTA submissions'!$H:$H,'By year'!$A13,'Local HTA submissions'!$C:$C,'By year'!D$5)</f>
        <v>2</v>
      </c>
      <c r="E13" s="21">
        <f>COUNTIFS('Local HTA submissions'!$H:$H,'By year'!$A13,'Local HTA submissions'!$C:$C,'By year'!E$5)</f>
        <v>2</v>
      </c>
      <c r="F13" s="21">
        <f>COUNTIFS('Local HTA submissions'!$H:$H,'By year'!$A13,'Local HTA submissions'!$C:$C,'By year'!F$5)</f>
        <v>12</v>
      </c>
      <c r="G13" s="21">
        <f>COUNTIFS('Local HTA submissions'!$H:$H,'By year'!$A13,'Local HTA submissions'!$C:$C,'By year'!G$5)</f>
        <v>6</v>
      </c>
      <c r="H13" s="21">
        <f>COUNTIFS('Local HTA submissions'!$H:$H,'By year'!$A13,'Local HTA submissions'!$C:$C,'By year'!H$5)</f>
        <v>0</v>
      </c>
      <c r="I13" s="21">
        <v>7</v>
      </c>
      <c r="J13" s="21">
        <v>24</v>
      </c>
      <c r="K13" s="37">
        <f t="shared" si="0"/>
        <v>59</v>
      </c>
    </row>
    <row r="14" spans="1:12">
      <c r="A14" s="36">
        <f>'Local HTA submissions'!AG4</f>
        <v>2019</v>
      </c>
      <c r="B14" s="21">
        <f>COUNTIFS('Local HTA submissions'!$H:$H,'By year'!$A14,'Local HTA submissions'!$C:$C,'By year'!B$5)</f>
        <v>9</v>
      </c>
      <c r="C14" s="21">
        <f>COUNTIFS('Local HTA submissions'!$H:$H,'By year'!$A14,'Local HTA submissions'!$C:$C,'By year'!C$5)</f>
        <v>3</v>
      </c>
      <c r="D14" s="21">
        <f>COUNTIFS('Local HTA submissions'!$H:$H,'By year'!$A14,'Local HTA submissions'!$C:$C,'By year'!D$5)</f>
        <v>1</v>
      </c>
      <c r="E14" s="21">
        <f>COUNTIFS('Local HTA submissions'!$H:$H,'By year'!$A14,'Local HTA submissions'!$C:$C,'By year'!E$5)</f>
        <v>3</v>
      </c>
      <c r="F14" s="21">
        <f>COUNTIFS('Local HTA submissions'!$H:$H,'By year'!$A14,'Local HTA submissions'!$C:$C,'By year'!F$5)</f>
        <v>14</v>
      </c>
      <c r="G14" s="21">
        <f>COUNTIFS('Local HTA submissions'!$H:$H,'By year'!$A14,'Local HTA submissions'!$C:$C,'By year'!G$5)</f>
        <v>6</v>
      </c>
      <c r="H14" s="21">
        <f>COUNTIFS('Local HTA submissions'!$H:$H,'By year'!$A14,'Local HTA submissions'!$C:$C,'By year'!H$5)</f>
        <v>0</v>
      </c>
      <c r="I14" s="21">
        <v>19</v>
      </c>
      <c r="J14" s="21">
        <v>22</v>
      </c>
      <c r="K14" s="37">
        <f t="shared" si="0"/>
        <v>77</v>
      </c>
    </row>
    <row r="15" spans="1:12">
      <c r="A15" s="36">
        <f>'Local HTA submissions'!AG3</f>
        <v>2020</v>
      </c>
      <c r="B15" s="21">
        <f>COUNTIFS('Local HTA submissions'!$H:$H,'By year'!$A15,'Local HTA submissions'!$C:$C,'By year'!B$5)</f>
        <v>5</v>
      </c>
      <c r="C15" s="21">
        <f>COUNTIFS('Local HTA submissions'!$H:$H,'By year'!$A15,'Local HTA submissions'!$C:$C,'By year'!C$5)</f>
        <v>3</v>
      </c>
      <c r="D15" s="21">
        <f>COUNTIFS('Local HTA submissions'!$H:$H,'By year'!$A15,'Local HTA submissions'!$C:$C,'By year'!D$5)</f>
        <v>0</v>
      </c>
      <c r="E15" s="21">
        <f>COUNTIFS('Local HTA submissions'!$H:$H,'By year'!$A15,'Local HTA submissions'!$C:$C,'By year'!E$5)</f>
        <v>2</v>
      </c>
      <c r="F15" s="21">
        <f>COUNTIFS('Local HTA submissions'!$H:$H,'By year'!$A15,'Local HTA submissions'!$C:$C,'By year'!F$5)</f>
        <v>25</v>
      </c>
      <c r="G15" s="21">
        <f>COUNTIFS('Local HTA submissions'!$H:$H,'By year'!$A15,'Local HTA submissions'!$C:$C,'By year'!G$5)</f>
        <v>17</v>
      </c>
      <c r="H15" s="21">
        <f>COUNTIFS('Local HTA submissions'!$H:$H,'By year'!$A15,'Local HTA submissions'!$C:$C,'By year'!H$5)</f>
        <v>0</v>
      </c>
      <c r="I15" s="21">
        <v>19</v>
      </c>
      <c r="J15" s="21">
        <v>22</v>
      </c>
      <c r="K15" s="37">
        <f t="shared" si="0"/>
        <v>93</v>
      </c>
    </row>
    <row r="16" spans="1:12">
      <c r="A16" s="36">
        <f>'Local HTA submissions'!AG2</f>
        <v>2021</v>
      </c>
      <c r="B16" s="21">
        <f>COUNTIFS('Local HTA submissions'!$H:$H,'By year'!$A16,'Local HTA submissions'!$C:$C,'By year'!B$5)</f>
        <v>7</v>
      </c>
      <c r="C16" s="21">
        <f>COUNTIFS('Local HTA submissions'!$H:$H,'By year'!$A16,'Local HTA submissions'!$C:$C,'By year'!C$5)</f>
        <v>5</v>
      </c>
      <c r="D16" s="21">
        <f>COUNTIFS('Local HTA submissions'!$H:$H,'By year'!$A16,'Local HTA submissions'!$C:$C,'By year'!D$5)</f>
        <v>0</v>
      </c>
      <c r="E16" s="21">
        <f>COUNTIFS('Local HTA submissions'!$H:$H,'By year'!$A16,'Local HTA submissions'!$C:$C,'By year'!E$5)</f>
        <v>4</v>
      </c>
      <c r="F16" s="21">
        <f>COUNTIFS('Local HTA submissions'!$H:$H,'By year'!$A16,'Local HTA submissions'!$C:$C,'By year'!F$5)</f>
        <v>7</v>
      </c>
      <c r="G16" s="21">
        <f>COUNTIFS('Local HTA submissions'!$H:$H,'By year'!$A16,'Local HTA submissions'!$C:$C,'By year'!G$5)</f>
        <v>17</v>
      </c>
      <c r="H16" s="21">
        <f>COUNTIFS('Local HTA submissions'!$H:$H,'By year'!$A16,'Local HTA submissions'!$C:$C,'By year'!H$5)</f>
        <v>0</v>
      </c>
      <c r="I16" s="21">
        <v>4</v>
      </c>
      <c r="J16" s="21">
        <v>4</v>
      </c>
      <c r="K16" s="37">
        <f t="shared" si="0"/>
        <v>48</v>
      </c>
    </row>
    <row r="17" spans="1:11" hidden="1">
      <c r="A17" s="36" t="str">
        <f>'Local HTA submissions'!AG13</f>
        <v>Ongoing</v>
      </c>
      <c r="B17" s="21">
        <f>COUNTIFS('Local HTA submissions'!$H:$H,'By year'!$A17,'Local HTA submissions'!$C:$C,'By year'!B$5)</f>
        <v>0</v>
      </c>
      <c r="C17" s="21">
        <f>COUNTIFS('Local HTA submissions'!$H:$H,'By year'!$A17,'Local HTA submissions'!$C:$C,'By year'!C$5)</f>
        <v>0</v>
      </c>
      <c r="D17" s="21">
        <f>COUNTIFS('Local HTA submissions'!$H:$H,'By year'!$A17,'Local HTA submissions'!$C:$C,'By year'!D$5)</f>
        <v>0</v>
      </c>
      <c r="E17" s="21">
        <f>COUNTIFS('Local HTA submissions'!$H:$H,'By year'!$A17,'Local HTA submissions'!$C:$C,'By year'!E$5)</f>
        <v>0</v>
      </c>
      <c r="F17" s="21">
        <f>COUNTIFS('Local HTA submissions'!$H:$H,'By year'!$A17,'Local HTA submissions'!$C:$C,'By year'!F$5)</f>
        <v>0</v>
      </c>
      <c r="G17" s="21">
        <f>COUNTIFS('Local HTA submissions'!$H:$H,'By year'!$A17,'Local HTA submissions'!$C:$C,'By year'!G$5)</f>
        <v>0</v>
      </c>
      <c r="H17" s="21">
        <f>COUNTIFS('Local HTA submissions'!$H:$H,'By year'!$A17,'Local HTA submissions'!$C:$C,'By year'!H$5)</f>
        <v>0</v>
      </c>
      <c r="I17" s="21">
        <v>4</v>
      </c>
      <c r="J17" s="21">
        <v>4</v>
      </c>
      <c r="K17" s="37">
        <f t="shared" si="0"/>
        <v>8</v>
      </c>
    </row>
    <row r="18" spans="1:11">
      <c r="A18" s="38" t="s">
        <v>697</v>
      </c>
      <c r="B18" s="39">
        <f t="shared" ref="B18:J18" si="1">SUM(B6:B17)</f>
        <v>50</v>
      </c>
      <c r="C18" s="39">
        <f t="shared" si="1"/>
        <v>27</v>
      </c>
      <c r="D18" s="39">
        <f t="shared" si="1"/>
        <v>6</v>
      </c>
      <c r="E18" s="39">
        <f t="shared" si="1"/>
        <v>22</v>
      </c>
      <c r="F18" s="39">
        <f t="shared" si="1"/>
        <v>85</v>
      </c>
      <c r="G18" s="39">
        <f t="shared" si="1"/>
        <v>46</v>
      </c>
      <c r="H18" s="39">
        <f t="shared" si="1"/>
        <v>0</v>
      </c>
      <c r="I18" s="39">
        <f t="shared" si="1"/>
        <v>73</v>
      </c>
      <c r="J18" s="39">
        <f t="shared" si="1"/>
        <v>165</v>
      </c>
      <c r="K18" s="40">
        <f t="shared" si="0"/>
        <v>474</v>
      </c>
    </row>
    <row r="46" spans="1:12">
      <c r="A46" s="44" t="s">
        <v>702</v>
      </c>
      <c r="B46" s="45"/>
      <c r="C46" s="45"/>
      <c r="D46" s="45"/>
      <c r="E46" s="45"/>
      <c r="F46" s="45"/>
      <c r="G46" s="45"/>
      <c r="H46" s="45"/>
      <c r="I46" s="45"/>
      <c r="J46" s="45"/>
      <c r="K46" s="45"/>
      <c r="L46" s="46"/>
    </row>
    <row r="47" spans="1:12">
      <c r="A47" s="41" t="s">
        <v>698</v>
      </c>
      <c r="B47" s="24" t="s">
        <v>708</v>
      </c>
      <c r="C47" s="24" t="s">
        <v>709</v>
      </c>
      <c r="D47" s="24" t="s">
        <v>710</v>
      </c>
      <c r="E47" s="24" t="s">
        <v>711</v>
      </c>
      <c r="F47" s="24" t="s">
        <v>712</v>
      </c>
      <c r="G47" s="24" t="s">
        <v>713</v>
      </c>
      <c r="H47" s="24" t="s">
        <v>714</v>
      </c>
      <c r="I47" s="24" t="s">
        <v>715</v>
      </c>
      <c r="J47" s="24" t="s">
        <v>716</v>
      </c>
      <c r="K47" s="24" t="s">
        <v>717</v>
      </c>
      <c r="L47" s="43" t="s">
        <v>697</v>
      </c>
    </row>
    <row r="48" spans="1:12">
      <c r="A48" s="36" t="str">
        <f>'Local HTA submissions'!AA2</f>
        <v>England</v>
      </c>
      <c r="B48" s="21">
        <f>COUNTIFS('Local HTA submissions'!$B:$B,'By year'!$A48,'Local HTA submissions'!$H:$H,'By year'!B$47)</f>
        <v>4</v>
      </c>
      <c r="C48" s="21">
        <f>COUNTIFS('Local HTA submissions'!$B:$B,'By year'!$A48,'Local HTA submissions'!$H:$H,'By year'!C$47)</f>
        <v>5</v>
      </c>
      <c r="D48" s="21">
        <f>COUNTIFS('Local HTA submissions'!$B:$B,'By year'!$A48,'Local HTA submissions'!$H:$H,'By year'!D$47)</f>
        <v>3</v>
      </c>
      <c r="E48" s="21">
        <f>COUNTIFS('Local HTA submissions'!$B:$B,'By year'!$A48,'Local HTA submissions'!$H:$H,'By year'!E$47)</f>
        <v>5</v>
      </c>
      <c r="F48" s="21">
        <f>COUNTIFS('Local HTA submissions'!$B:$B,'By year'!$A48,'Local HTA submissions'!$H:$H,'By year'!F$47)</f>
        <v>3</v>
      </c>
      <c r="G48" s="21">
        <f>COUNTIFS('Local HTA submissions'!$B:$B,'By year'!$A48,'Local HTA submissions'!$H:$H,'By year'!G$47)</f>
        <v>5</v>
      </c>
      <c r="H48" s="21">
        <f>COUNTIFS('Local HTA submissions'!$B:$B,'By year'!$A48,'Local HTA submissions'!$H:$H,'By year'!H$47)</f>
        <v>4</v>
      </c>
      <c r="I48" s="21">
        <f>COUNTIFS('Local HTA submissions'!$B:$B,'By year'!$A48,'Local HTA submissions'!$H:$H,'By year'!I$47)</f>
        <v>9</v>
      </c>
      <c r="J48" s="21">
        <f>COUNTIFS('Local HTA submissions'!$B:$B,'By year'!$A48,'Local HTA submissions'!$H:$H,'By year'!J$47)</f>
        <v>5</v>
      </c>
      <c r="K48" s="21">
        <f>COUNTIFS('Local HTA submissions'!$B:$B,'By year'!$A48,'Local HTA submissions'!$H:$H,'By year'!K$47)</f>
        <v>7</v>
      </c>
      <c r="L48" s="37">
        <f t="shared" ref="L48:L66" si="2">SUM(B48:K48)</f>
        <v>50</v>
      </c>
    </row>
    <row r="49" spans="1:12">
      <c r="A49" s="36" t="str">
        <f>'Local HTA submissions'!AA3</f>
        <v>Scotland</v>
      </c>
      <c r="B49" s="21">
        <f>COUNTIFS('Local HTA submissions'!$B:$B,'By year'!$A49,'Local HTA submissions'!$H:$H,'By year'!B$47)</f>
        <v>2</v>
      </c>
      <c r="C49" s="21">
        <f>COUNTIFS('Local HTA submissions'!$B:$B,'By year'!$A49,'Local HTA submissions'!$H:$H,'By year'!C$47)</f>
        <v>1</v>
      </c>
      <c r="D49" s="21">
        <f>COUNTIFS('Local HTA submissions'!$B:$B,'By year'!$A49,'Local HTA submissions'!$H:$H,'By year'!D$47)</f>
        <v>0</v>
      </c>
      <c r="E49" s="21">
        <f>COUNTIFS('Local HTA submissions'!$B:$B,'By year'!$A49,'Local HTA submissions'!$H:$H,'By year'!E$47)</f>
        <v>9</v>
      </c>
      <c r="F49" s="21">
        <f>COUNTIFS('Local HTA submissions'!$B:$B,'By year'!$A49,'Local HTA submissions'!$H:$H,'By year'!F$47)</f>
        <v>1</v>
      </c>
      <c r="G49" s="21">
        <f>COUNTIFS('Local HTA submissions'!$B:$B,'By year'!$A49,'Local HTA submissions'!$H:$H,'By year'!G$47)</f>
        <v>1</v>
      </c>
      <c r="H49" s="21">
        <f>COUNTIFS('Local HTA submissions'!$B:$B,'By year'!$A49,'Local HTA submissions'!$H:$H,'By year'!H$47)</f>
        <v>2</v>
      </c>
      <c r="I49" s="21">
        <f>COUNTIFS('Local HTA submissions'!$B:$B,'By year'!$A49,'Local HTA submissions'!$H:$H,'By year'!I$47)</f>
        <v>3</v>
      </c>
      <c r="J49" s="21">
        <f>COUNTIFS('Local HTA submissions'!$B:$B,'By year'!$A49,'Local HTA submissions'!$H:$H,'By year'!J$47)</f>
        <v>3</v>
      </c>
      <c r="K49" s="21">
        <f>COUNTIFS('Local HTA submissions'!$B:$B,'By year'!$A49,'Local HTA submissions'!$H:$H,'By year'!K$47)</f>
        <v>5</v>
      </c>
      <c r="L49" s="37">
        <f t="shared" si="2"/>
        <v>27</v>
      </c>
    </row>
    <row r="50" spans="1:12">
      <c r="A50" s="36" t="str">
        <f>'Local HTA submissions'!AA4</f>
        <v>Wales</v>
      </c>
      <c r="B50" s="21">
        <f>COUNTIFS('Local HTA submissions'!$B:$B,'By year'!$A50,'Local HTA submissions'!$H:$H,'By year'!B$47)</f>
        <v>0</v>
      </c>
      <c r="C50" s="21">
        <f>COUNTIFS('Local HTA submissions'!$B:$B,'By year'!$A50,'Local HTA submissions'!$H:$H,'By year'!C$47)</f>
        <v>1</v>
      </c>
      <c r="D50" s="21">
        <f>COUNTIFS('Local HTA submissions'!$B:$B,'By year'!$A50,'Local HTA submissions'!$H:$H,'By year'!D$47)</f>
        <v>0</v>
      </c>
      <c r="E50" s="21">
        <f>COUNTIFS('Local HTA submissions'!$B:$B,'By year'!$A50,'Local HTA submissions'!$H:$H,'By year'!E$47)</f>
        <v>1</v>
      </c>
      <c r="F50" s="21">
        <f>COUNTIFS('Local HTA submissions'!$B:$B,'By year'!$A50,'Local HTA submissions'!$H:$H,'By year'!F$47)</f>
        <v>1</v>
      </c>
      <c r="G50" s="21">
        <f>COUNTIFS('Local HTA submissions'!$B:$B,'By year'!$A50,'Local HTA submissions'!$H:$H,'By year'!G$47)</f>
        <v>0</v>
      </c>
      <c r="H50" s="21">
        <f>COUNTIFS('Local HTA submissions'!$B:$B,'By year'!$A50,'Local HTA submissions'!$H:$H,'By year'!H$47)</f>
        <v>2</v>
      </c>
      <c r="I50" s="21">
        <f>COUNTIFS('Local HTA submissions'!$B:$B,'By year'!$A50,'Local HTA submissions'!$H:$H,'By year'!I$47)</f>
        <v>1</v>
      </c>
      <c r="J50" s="21">
        <f>COUNTIFS('Local HTA submissions'!$B:$B,'By year'!$A50,'Local HTA submissions'!$H:$H,'By year'!J$47)</f>
        <v>0</v>
      </c>
      <c r="K50" s="21">
        <f>COUNTIFS('Local HTA submissions'!$B:$B,'By year'!$A50,'Local HTA submissions'!$H:$H,'By year'!K$47)</f>
        <v>0</v>
      </c>
      <c r="L50" s="37">
        <f t="shared" si="2"/>
        <v>6</v>
      </c>
    </row>
    <row r="51" spans="1:12">
      <c r="A51" s="36" t="str">
        <f>'Local HTA submissions'!AA5</f>
        <v>Ireland</v>
      </c>
      <c r="B51" s="21">
        <f>COUNTIFS('Local HTA submissions'!$B:$B,'By year'!$A51,'Local HTA submissions'!$H:$H,'By year'!B$47)</f>
        <v>0</v>
      </c>
      <c r="C51" s="21">
        <f>COUNTIFS('Local HTA submissions'!$B:$B,'By year'!$A51,'Local HTA submissions'!$H:$H,'By year'!C$47)</f>
        <v>3</v>
      </c>
      <c r="D51" s="21">
        <f>COUNTIFS('Local HTA submissions'!$B:$B,'By year'!$A51,'Local HTA submissions'!$H:$H,'By year'!D$47)</f>
        <v>2</v>
      </c>
      <c r="E51" s="21">
        <f>COUNTIFS('Local HTA submissions'!$B:$B,'By year'!$A51,'Local HTA submissions'!$H:$H,'By year'!E$47)</f>
        <v>2</v>
      </c>
      <c r="F51" s="21">
        <f>COUNTIFS('Local HTA submissions'!$B:$B,'By year'!$A51,'Local HTA submissions'!$H:$H,'By year'!F$47)</f>
        <v>2</v>
      </c>
      <c r="G51" s="21">
        <f>COUNTIFS('Local HTA submissions'!$B:$B,'By year'!$A51,'Local HTA submissions'!$H:$H,'By year'!G$47)</f>
        <v>2</v>
      </c>
      <c r="H51" s="21">
        <f>COUNTIFS('Local HTA submissions'!$B:$B,'By year'!$A51,'Local HTA submissions'!$H:$H,'By year'!H$47)</f>
        <v>2</v>
      </c>
      <c r="I51" s="21">
        <f>COUNTIFS('Local HTA submissions'!$B:$B,'By year'!$A51,'Local HTA submissions'!$H:$H,'By year'!I$47)</f>
        <v>3</v>
      </c>
      <c r="J51" s="21">
        <f>COUNTIFS('Local HTA submissions'!$B:$B,'By year'!$A51,'Local HTA submissions'!$H:$H,'By year'!J$47)</f>
        <v>2</v>
      </c>
      <c r="K51" s="21">
        <f>COUNTIFS('Local HTA submissions'!$B:$B,'By year'!$A51,'Local HTA submissions'!$H:$H,'By year'!K$47)</f>
        <v>4</v>
      </c>
      <c r="L51" s="37">
        <f t="shared" si="2"/>
        <v>22</v>
      </c>
    </row>
    <row r="52" spans="1:12">
      <c r="A52" s="36" t="str">
        <f>'Local HTA submissions'!AA6</f>
        <v>Germany</v>
      </c>
      <c r="B52" s="21">
        <f>COUNTIFS('Local HTA submissions'!$B:$B,'By year'!$A52,'Local HTA submissions'!$H:$H,'By year'!B$47)</f>
        <v>0</v>
      </c>
      <c r="C52" s="21">
        <f>COUNTIFS('Local HTA submissions'!$B:$B,'By year'!$A52,'Local HTA submissions'!$H:$H,'By year'!C$47)</f>
        <v>0</v>
      </c>
      <c r="D52" s="21">
        <f>COUNTIFS('Local HTA submissions'!$B:$B,'By year'!$A52,'Local HTA submissions'!$H:$H,'By year'!D$47)</f>
        <v>0</v>
      </c>
      <c r="E52" s="21">
        <f>COUNTIFS('Local HTA submissions'!$B:$B,'By year'!$A52,'Local HTA submissions'!$H:$H,'By year'!E$47)</f>
        <v>7</v>
      </c>
      <c r="F52" s="21">
        <f>COUNTIFS('Local HTA submissions'!$B:$B,'By year'!$A52,'Local HTA submissions'!$H:$H,'By year'!F$47)</f>
        <v>9</v>
      </c>
      <c r="G52" s="21">
        <f>COUNTIFS('Local HTA submissions'!$B:$B,'By year'!$A52,'Local HTA submissions'!$H:$H,'By year'!G$47)</f>
        <v>11</v>
      </c>
      <c r="H52" s="21">
        <f>COUNTIFS('Local HTA submissions'!$B:$B,'By year'!$A52,'Local HTA submissions'!$H:$H,'By year'!H$47)</f>
        <v>12</v>
      </c>
      <c r="I52" s="21">
        <f>COUNTIFS('Local HTA submissions'!$B:$B,'By year'!$A52,'Local HTA submissions'!$H:$H,'By year'!I$47)</f>
        <v>14</v>
      </c>
      <c r="J52" s="21">
        <f>COUNTIFS('Local HTA submissions'!$B:$B,'By year'!$A52,'Local HTA submissions'!$H:$H,'By year'!J$47)</f>
        <v>25</v>
      </c>
      <c r="K52" s="21">
        <f>COUNTIFS('Local HTA submissions'!$B:$B,'By year'!$A52,'Local HTA submissions'!$H:$H,'By year'!K$47)</f>
        <v>7</v>
      </c>
      <c r="L52" s="37">
        <f t="shared" si="2"/>
        <v>85</v>
      </c>
    </row>
    <row r="53" spans="1:12">
      <c r="A53" s="36" t="str">
        <f>'Local HTA submissions'!AA7</f>
        <v>Spain</v>
      </c>
      <c r="B53" s="21">
        <f>COUNTIFS('Local HTA submissions'!$B:$B,'By year'!$A53,'Local HTA submissions'!$H:$H,'By year'!B$47)</f>
        <v>0</v>
      </c>
      <c r="C53" s="21">
        <f>COUNTIFS('Local HTA submissions'!$B:$B,'By year'!$A53,'Local HTA submissions'!$H:$H,'By year'!C$47)</f>
        <v>0</v>
      </c>
      <c r="D53" s="21">
        <f>COUNTIFS('Local HTA submissions'!$B:$B,'By year'!$A53,'Local HTA submissions'!$H:$H,'By year'!D$47)</f>
        <v>0</v>
      </c>
      <c r="E53" s="21">
        <f>COUNTIFS('Local HTA submissions'!$B:$B,'By year'!$A53,'Local HTA submissions'!$H:$H,'By year'!E$47)</f>
        <v>5</v>
      </c>
      <c r="F53" s="21">
        <f>COUNTIFS('Local HTA submissions'!$B:$B,'By year'!$A53,'Local HTA submissions'!$H:$H,'By year'!F$47)</f>
        <v>8</v>
      </c>
      <c r="G53" s="21">
        <f>COUNTIFS('Local HTA submissions'!$B:$B,'By year'!$A53,'Local HTA submissions'!$H:$H,'By year'!G$47)</f>
        <v>6</v>
      </c>
      <c r="H53" s="21">
        <f>COUNTIFS('Local HTA submissions'!$B:$B,'By year'!$A53,'Local HTA submissions'!$H:$H,'By year'!H$47)</f>
        <v>7</v>
      </c>
      <c r="I53" s="21">
        <f>COUNTIFS('Local HTA submissions'!$B:$B,'By year'!$A53,'Local HTA submissions'!$H:$H,'By year'!I$47)</f>
        <v>7</v>
      </c>
      <c r="J53" s="21">
        <f>COUNTIFS('Local HTA submissions'!$B:$B,'By year'!$A53,'Local HTA submissions'!$H:$H,'By year'!J$47)</f>
        <v>5</v>
      </c>
      <c r="K53" s="21">
        <f>COUNTIFS('Local HTA submissions'!$B:$B,'By year'!$A53,'Local HTA submissions'!$H:$H,'By year'!K$47)</f>
        <v>2</v>
      </c>
      <c r="L53" s="37">
        <f t="shared" si="2"/>
        <v>40</v>
      </c>
    </row>
    <row r="54" spans="1:12">
      <c r="A54" s="36" t="str">
        <f>'Local HTA submissions'!AA8</f>
        <v>Italy</v>
      </c>
      <c r="B54" s="21">
        <f>COUNTIFS('Local HTA submissions'!$B:$B,'By year'!$A54,'Local HTA submissions'!$H:$H,'By year'!B$47)</f>
        <v>0</v>
      </c>
      <c r="C54" s="21">
        <f>COUNTIFS('Local HTA submissions'!$B:$B,'By year'!$A54,'Local HTA submissions'!$H:$H,'By year'!C$47)</f>
        <v>0</v>
      </c>
      <c r="D54" s="21">
        <f>COUNTIFS('Local HTA submissions'!$B:$B,'By year'!$A54,'Local HTA submissions'!$H:$H,'By year'!D$47)</f>
        <v>0</v>
      </c>
      <c r="E54" s="21">
        <f>COUNTIFS('Local HTA submissions'!$B:$B,'By year'!$A54,'Local HTA submissions'!$H:$H,'By year'!E$47)</f>
        <v>0</v>
      </c>
      <c r="F54" s="21">
        <f>COUNTIFS('Local HTA submissions'!$B:$B,'By year'!$A54,'Local HTA submissions'!$H:$H,'By year'!F$47)</f>
        <v>0</v>
      </c>
      <c r="G54" s="21">
        <f>COUNTIFS('Local HTA submissions'!$B:$B,'By year'!$A54,'Local HTA submissions'!$H:$H,'By year'!G$47)</f>
        <v>0</v>
      </c>
      <c r="H54" s="21">
        <f>COUNTIFS('Local HTA submissions'!$B:$B,'By year'!$A54,'Local HTA submissions'!$H:$H,'By year'!H$47)</f>
        <v>6</v>
      </c>
      <c r="I54" s="21">
        <f>COUNTIFS('Local HTA submissions'!$B:$B,'By year'!$A54,'Local HTA submissions'!$H:$H,'By year'!I$47)</f>
        <v>6</v>
      </c>
      <c r="J54" s="21">
        <f>COUNTIFS('Local HTA submissions'!$B:$B,'By year'!$A54,'Local HTA submissions'!$H:$H,'By year'!J$47)</f>
        <v>17</v>
      </c>
      <c r="K54" s="21">
        <f>COUNTIFS('Local HTA submissions'!$B:$B,'By year'!$A54,'Local HTA submissions'!$H:$H,'By year'!K$47)</f>
        <v>17</v>
      </c>
      <c r="L54" s="37">
        <f t="shared" si="2"/>
        <v>46</v>
      </c>
    </row>
    <row r="55" spans="1:12">
      <c r="A55" s="36" t="str">
        <f>'Local HTA submissions'!AA9</f>
        <v>France</v>
      </c>
      <c r="B55" s="21">
        <f>COUNTIFS('Local HTA submissions'!$B:$B,'By year'!$A55,'Local HTA submissions'!$H:$H,'By year'!B$47)</f>
        <v>0</v>
      </c>
      <c r="C55" s="21">
        <f>COUNTIFS('Local HTA submissions'!$B:$B,'By year'!$A55,'Local HTA submissions'!$H:$H,'By year'!C$47)</f>
        <v>0</v>
      </c>
      <c r="D55" s="21">
        <f>COUNTIFS('Local HTA submissions'!$B:$B,'By year'!$A55,'Local HTA submissions'!$H:$H,'By year'!D$47)</f>
        <v>0</v>
      </c>
      <c r="E55" s="23">
        <v>41</v>
      </c>
      <c r="F55" s="23">
        <v>40</v>
      </c>
      <c r="G55" s="23">
        <v>28</v>
      </c>
      <c r="H55" s="23">
        <v>31</v>
      </c>
      <c r="I55" s="23">
        <v>41</v>
      </c>
      <c r="J55" s="23">
        <v>41</v>
      </c>
      <c r="K55" s="23">
        <v>8</v>
      </c>
      <c r="L55" s="37">
        <f t="shared" si="2"/>
        <v>230</v>
      </c>
    </row>
    <row r="56" spans="1:12">
      <c r="A56" s="36" t="str">
        <f>'Local HTA submissions'!AA10</f>
        <v>Portugal</v>
      </c>
      <c r="B56" s="21">
        <f>COUNTIFS('Local HTA submissions'!$B:$B,'By year'!$A56,'Local HTA submissions'!$H:$H,'By year'!B$47)</f>
        <v>0</v>
      </c>
      <c r="C56" s="21">
        <f>COUNTIFS('Local HTA submissions'!$B:$B,'By year'!$A56,'Local HTA submissions'!$H:$H,'By year'!C$47)</f>
        <v>0</v>
      </c>
      <c r="D56" s="21">
        <f>COUNTIFS('Local HTA submissions'!$B:$B,'By year'!$A56,'Local HTA submissions'!$H:$H,'By year'!D$47)</f>
        <v>0</v>
      </c>
      <c r="E56" s="21">
        <f>COUNTIFS('Local HTA submissions'!$B:$B,'By year'!$A56,'Local HTA submissions'!$H:$H,'By year'!E$47)</f>
        <v>0</v>
      </c>
      <c r="F56" s="21">
        <f>COUNTIFS('Local HTA submissions'!$B:$B,'By year'!$A56,'Local HTA submissions'!$H:$H,'By year'!F$47)</f>
        <v>0</v>
      </c>
      <c r="G56" s="21">
        <f>COUNTIFS('Local HTA submissions'!$B:$B,'By year'!$A56,'Local HTA submissions'!$H:$H,'By year'!G$47)</f>
        <v>0</v>
      </c>
      <c r="H56" s="21">
        <f>COUNTIFS('Local HTA submissions'!$B:$B,'By year'!$A56,'Local HTA submissions'!$H:$H,'By year'!H$47)</f>
        <v>0</v>
      </c>
      <c r="I56" s="21">
        <f>COUNTIFS('Local HTA submissions'!$B:$B,'By year'!$A56,'Local HTA submissions'!$H:$H,'By year'!I$47)</f>
        <v>0</v>
      </c>
      <c r="J56" s="21">
        <f>COUNTIFS('Local HTA submissions'!$B:$B,'By year'!$A56,'Local HTA submissions'!$H:$H,'By year'!J$47)</f>
        <v>2</v>
      </c>
      <c r="K56" s="21">
        <f>COUNTIFS('Local HTA submissions'!$B:$B,'By year'!$A56,'Local HTA submissions'!$H:$H,'By year'!K$47)</f>
        <v>4</v>
      </c>
      <c r="L56" s="37">
        <f t="shared" si="2"/>
        <v>6</v>
      </c>
    </row>
    <row r="57" spans="1:12">
      <c r="A57" s="36" t="str">
        <f>'Local HTA submissions'!AA11</f>
        <v>Greece</v>
      </c>
      <c r="B57" s="21">
        <f>COUNTIFS('Local HTA submissions'!$B:$B,'By year'!$A57,'Local HTA submissions'!$H:$H,'By year'!B$47)</f>
        <v>0</v>
      </c>
      <c r="C57" s="21">
        <f>COUNTIFS('Local HTA submissions'!$B:$B,'By year'!$A57,'Local HTA submissions'!$H:$H,'By year'!C$47)</f>
        <v>0</v>
      </c>
      <c r="D57" s="21">
        <f>COUNTIFS('Local HTA submissions'!$B:$B,'By year'!$A57,'Local HTA submissions'!$H:$H,'By year'!D$47)</f>
        <v>0</v>
      </c>
      <c r="E57" s="21">
        <f>COUNTIFS('Local HTA submissions'!$B:$B,'By year'!$A57,'Local HTA submissions'!$H:$H,'By year'!E$47)</f>
        <v>0</v>
      </c>
      <c r="F57" s="21">
        <f>COUNTIFS('Local HTA submissions'!$B:$B,'By year'!$A57,'Local HTA submissions'!$H:$H,'By year'!F$47)</f>
        <v>0</v>
      </c>
      <c r="G57" s="21">
        <f>COUNTIFS('Local HTA submissions'!$B:$B,'By year'!$A57,'Local HTA submissions'!$H:$H,'By year'!G$47)</f>
        <v>0</v>
      </c>
      <c r="H57" s="21">
        <f>COUNTIFS('Local HTA submissions'!$B:$B,'By year'!$A57,'Local HTA submissions'!$H:$H,'By year'!H$47)</f>
        <v>1</v>
      </c>
      <c r="I57" s="21">
        <f>COUNTIFS('Local HTA submissions'!$B:$B,'By year'!$A57,'Local HTA submissions'!$H:$H,'By year'!I$47)</f>
        <v>4</v>
      </c>
      <c r="J57" s="21">
        <f>COUNTIFS('Local HTA submissions'!$B:$B,'By year'!$A57,'Local HTA submissions'!$H:$H,'By year'!J$47)</f>
        <v>9</v>
      </c>
      <c r="K57" s="21">
        <f>COUNTIFS('Local HTA submissions'!$B:$B,'By year'!$A57,'Local HTA submissions'!$H:$H,'By year'!K$47)</f>
        <v>6</v>
      </c>
      <c r="L57" s="37">
        <f t="shared" si="2"/>
        <v>20</v>
      </c>
    </row>
    <row r="58" spans="1:12">
      <c r="A58" s="36" t="str">
        <f>'Local HTA submissions'!AA12</f>
        <v>Netherlands</v>
      </c>
      <c r="B58" s="21">
        <f>COUNTIFS('Local HTA submissions'!$B:$B,'By year'!$A58,'Local HTA submissions'!$H:$H,'By year'!B$47)</f>
        <v>0</v>
      </c>
      <c r="C58" s="21">
        <f>COUNTIFS('Local HTA submissions'!$B:$B,'By year'!$A58,'Local HTA submissions'!$H:$H,'By year'!C$47)</f>
        <v>0</v>
      </c>
      <c r="D58" s="21">
        <f>COUNTIFS('Local HTA submissions'!$B:$B,'By year'!$A58,'Local HTA submissions'!$H:$H,'By year'!D$47)</f>
        <v>0</v>
      </c>
      <c r="E58" s="21">
        <f>COUNTIFS('Local HTA submissions'!$B:$B,'By year'!$A58,'Local HTA submissions'!$H:$H,'By year'!E$47)</f>
        <v>0</v>
      </c>
      <c r="F58" s="21">
        <f>COUNTIFS('Local HTA submissions'!$B:$B,'By year'!$A58,'Local HTA submissions'!$H:$H,'By year'!F$47)</f>
        <v>0</v>
      </c>
      <c r="G58" s="21">
        <f>COUNTIFS('Local HTA submissions'!$B:$B,'By year'!$A58,'Local HTA submissions'!$H:$H,'By year'!G$47)</f>
        <v>0</v>
      </c>
      <c r="H58" s="21">
        <f>COUNTIFS('Local HTA submissions'!$B:$B,'By year'!$A58,'Local HTA submissions'!$H:$H,'By year'!H$47)</f>
        <v>0</v>
      </c>
      <c r="I58" s="21">
        <f>COUNTIFS('Local HTA submissions'!$B:$B,'By year'!$A58,'Local HTA submissions'!$H:$H,'By year'!I$47)</f>
        <v>2</v>
      </c>
      <c r="J58" s="21">
        <f>COUNTIFS('Local HTA submissions'!$B:$B,'By year'!$A58,'Local HTA submissions'!$H:$H,'By year'!J$47)</f>
        <v>5</v>
      </c>
      <c r="K58" s="21">
        <f>COUNTIFS('Local HTA submissions'!$B:$B,'By year'!$A58,'Local HTA submissions'!$H:$H,'By year'!K$47)</f>
        <v>3</v>
      </c>
      <c r="L58" s="37">
        <f t="shared" si="2"/>
        <v>10</v>
      </c>
    </row>
    <row r="59" spans="1:12">
      <c r="A59" s="36" t="str">
        <f>'Local HTA submissions'!AA13</f>
        <v>Czech Republic</v>
      </c>
      <c r="B59" s="21">
        <f>COUNTIFS('Local HTA submissions'!$B:$B,'By year'!$A59,'Local HTA submissions'!$H:$H,'By year'!B$47)</f>
        <v>0</v>
      </c>
      <c r="C59" s="21">
        <f>COUNTIFS('Local HTA submissions'!$B:$B,'By year'!$A59,'Local HTA submissions'!$H:$H,'By year'!C$47)</f>
        <v>0</v>
      </c>
      <c r="D59" s="21">
        <f>COUNTIFS('Local HTA submissions'!$B:$B,'By year'!$A59,'Local HTA submissions'!$H:$H,'By year'!D$47)</f>
        <v>0</v>
      </c>
      <c r="E59" s="21">
        <f>COUNTIFS('Local HTA submissions'!$B:$B,'By year'!$A59,'Local HTA submissions'!$H:$H,'By year'!E$47)</f>
        <v>0</v>
      </c>
      <c r="F59" s="21">
        <f>COUNTIFS('Local HTA submissions'!$B:$B,'By year'!$A59,'Local HTA submissions'!$H:$H,'By year'!F$47)</f>
        <v>0</v>
      </c>
      <c r="G59" s="21">
        <f>COUNTIFS('Local HTA submissions'!$B:$B,'By year'!$A59,'Local HTA submissions'!$H:$H,'By year'!G$47)</f>
        <v>0</v>
      </c>
      <c r="H59" s="21">
        <f>COUNTIFS('Local HTA submissions'!$B:$B,'By year'!$A59,'Local HTA submissions'!$H:$H,'By year'!H$47)</f>
        <v>1</v>
      </c>
      <c r="I59" s="21">
        <f>COUNTIFS('Local HTA submissions'!$B:$B,'By year'!$A59,'Local HTA submissions'!$H:$H,'By year'!I$47)</f>
        <v>0</v>
      </c>
      <c r="J59" s="21">
        <f>COUNTIFS('Local HTA submissions'!$B:$B,'By year'!$A59,'Local HTA submissions'!$H:$H,'By year'!J$47)</f>
        <v>0</v>
      </c>
      <c r="K59" s="21">
        <f>COUNTIFS('Local HTA submissions'!$B:$B,'By year'!$A59,'Local HTA submissions'!$H:$H,'By year'!K$47)</f>
        <v>0</v>
      </c>
      <c r="L59" s="37">
        <f t="shared" si="2"/>
        <v>1</v>
      </c>
    </row>
    <row r="60" spans="1:12">
      <c r="A60" s="36" t="str">
        <f>'Local HTA submissions'!AA14</f>
        <v>Slovakia</v>
      </c>
      <c r="B60" s="21">
        <f>COUNTIFS('Local HTA submissions'!$B:$B,'By year'!$A60,'Local HTA submissions'!$H:$H,'By year'!B$47)</f>
        <v>0</v>
      </c>
      <c r="C60" s="21">
        <f>COUNTIFS('Local HTA submissions'!$B:$B,'By year'!$A60,'Local HTA submissions'!$H:$H,'By year'!C$47)</f>
        <v>0</v>
      </c>
      <c r="D60" s="21">
        <f>COUNTIFS('Local HTA submissions'!$B:$B,'By year'!$A60,'Local HTA submissions'!$H:$H,'By year'!D$47)</f>
        <v>0</v>
      </c>
      <c r="E60" s="21">
        <f>COUNTIFS('Local HTA submissions'!$B:$B,'By year'!$A60,'Local HTA submissions'!$H:$H,'By year'!E$47)</f>
        <v>0</v>
      </c>
      <c r="F60" s="21">
        <f>COUNTIFS('Local HTA submissions'!$B:$B,'By year'!$A60,'Local HTA submissions'!$H:$H,'By year'!F$47)</f>
        <v>0</v>
      </c>
      <c r="G60" s="21">
        <f>COUNTIFS('Local HTA submissions'!$B:$B,'By year'!$A60,'Local HTA submissions'!$H:$H,'By year'!G$47)</f>
        <v>0</v>
      </c>
      <c r="H60" s="21">
        <f>COUNTIFS('Local HTA submissions'!$B:$B,'By year'!$A60,'Local HTA submissions'!$H:$H,'By year'!H$47)</f>
        <v>1</v>
      </c>
      <c r="I60" s="21">
        <f>COUNTIFS('Local HTA submissions'!$B:$B,'By year'!$A60,'Local HTA submissions'!$H:$H,'By year'!I$47)</f>
        <v>0</v>
      </c>
      <c r="J60" s="21">
        <f>COUNTIFS('Local HTA submissions'!$B:$B,'By year'!$A60,'Local HTA submissions'!$H:$H,'By year'!J$47)</f>
        <v>0</v>
      </c>
      <c r="K60" s="21">
        <f>COUNTIFS('Local HTA submissions'!$B:$B,'By year'!$A60,'Local HTA submissions'!$H:$H,'By year'!K$47)</f>
        <v>0</v>
      </c>
      <c r="L60" s="37">
        <f t="shared" si="2"/>
        <v>1</v>
      </c>
    </row>
    <row r="61" spans="1:12" hidden="1">
      <c r="A61" s="36">
        <f>'Local HTA submissions'!AA15</f>
        <v>0</v>
      </c>
      <c r="B61" s="21">
        <f>COUNTIFS('Local HTA submissions'!$B:$B,'By year'!$A61,'Local HTA submissions'!$H:$H,'By year'!B$47)</f>
        <v>0</v>
      </c>
      <c r="C61" s="21">
        <f>COUNTIFS('Local HTA submissions'!$B:$B,'By year'!$A61,'Local HTA submissions'!$H:$H,'By year'!C$47)</f>
        <v>0</v>
      </c>
      <c r="D61" s="21">
        <f>COUNTIFS('Local HTA submissions'!$B:$B,'By year'!$A61,'Local HTA submissions'!$H:$H,'By year'!D$47)</f>
        <v>0</v>
      </c>
      <c r="E61" s="21">
        <f>COUNTIFS('Local HTA submissions'!$B:$B,'By year'!$A61,'Local HTA submissions'!$H:$H,'By year'!E$47)</f>
        <v>0</v>
      </c>
      <c r="F61" s="21">
        <f>COUNTIFS('Local HTA submissions'!$B:$B,'By year'!$A61,'Local HTA submissions'!$H:$H,'By year'!F$47)</f>
        <v>0</v>
      </c>
      <c r="G61" s="21">
        <f>COUNTIFS('Local HTA submissions'!$B:$B,'By year'!$A61,'Local HTA submissions'!$H:$H,'By year'!G$47)</f>
        <v>0</v>
      </c>
      <c r="H61" s="21">
        <f>COUNTIFS('Local HTA submissions'!$B:$B,'By year'!$A61,'Local HTA submissions'!$H:$H,'By year'!H$47)</f>
        <v>0</v>
      </c>
      <c r="I61" s="21">
        <f>COUNTIFS('Local HTA submissions'!$B:$B,'By year'!$A61,'Local HTA submissions'!$H:$H,'By year'!I$47)</f>
        <v>0</v>
      </c>
      <c r="J61" s="21">
        <f>COUNTIFS('Local HTA submissions'!$B:$B,'By year'!$A61,'Local HTA submissions'!$H:$H,'By year'!J$47)</f>
        <v>0</v>
      </c>
      <c r="K61" s="21">
        <f>COUNTIFS('Local HTA submissions'!$B:$B,'By year'!$A61,'Local HTA submissions'!$H:$H,'By year'!K$47)</f>
        <v>0</v>
      </c>
      <c r="L61" s="37">
        <f t="shared" si="2"/>
        <v>0</v>
      </c>
    </row>
    <row r="62" spans="1:12" hidden="1">
      <c r="A62" s="36">
        <f>'Local HTA submissions'!AA16</f>
        <v>0</v>
      </c>
      <c r="B62" s="21">
        <f>COUNTIFS('Local HTA submissions'!$B:$B,'By year'!$A62,'Local HTA submissions'!$H:$H,'By year'!B$47)</f>
        <v>0</v>
      </c>
      <c r="C62" s="21">
        <f>COUNTIFS('Local HTA submissions'!$B:$B,'By year'!$A62,'Local HTA submissions'!$H:$H,'By year'!C$47)</f>
        <v>0</v>
      </c>
      <c r="D62" s="21">
        <f>COUNTIFS('Local HTA submissions'!$B:$B,'By year'!$A62,'Local HTA submissions'!$H:$H,'By year'!D$47)</f>
        <v>0</v>
      </c>
      <c r="E62" s="21">
        <f>COUNTIFS('Local HTA submissions'!$B:$B,'By year'!$A62,'Local HTA submissions'!$H:$H,'By year'!E$47)</f>
        <v>0</v>
      </c>
      <c r="F62" s="21">
        <f>COUNTIFS('Local HTA submissions'!$B:$B,'By year'!$A62,'Local HTA submissions'!$H:$H,'By year'!F$47)</f>
        <v>0</v>
      </c>
      <c r="G62" s="21">
        <f>COUNTIFS('Local HTA submissions'!$B:$B,'By year'!$A62,'Local HTA submissions'!$H:$H,'By year'!G$47)</f>
        <v>0</v>
      </c>
      <c r="H62" s="21">
        <f>COUNTIFS('Local HTA submissions'!$B:$B,'By year'!$A62,'Local HTA submissions'!$H:$H,'By year'!H$47)</f>
        <v>0</v>
      </c>
      <c r="I62" s="21">
        <f>COUNTIFS('Local HTA submissions'!$B:$B,'By year'!$A62,'Local HTA submissions'!$H:$H,'By year'!I$47)</f>
        <v>0</v>
      </c>
      <c r="J62" s="21">
        <f>COUNTIFS('Local HTA submissions'!$B:$B,'By year'!$A62,'Local HTA submissions'!$H:$H,'By year'!J$47)</f>
        <v>0</v>
      </c>
      <c r="K62" s="21">
        <f>COUNTIFS('Local HTA submissions'!$B:$B,'By year'!$A62,'Local HTA submissions'!$H:$H,'By year'!K$47)</f>
        <v>0</v>
      </c>
      <c r="L62" s="37">
        <f t="shared" si="2"/>
        <v>0</v>
      </c>
    </row>
    <row r="63" spans="1:12" hidden="1">
      <c r="A63" s="36">
        <f>'Local HTA submissions'!AA17</f>
        <v>0</v>
      </c>
      <c r="B63" s="21">
        <f>COUNTIFS('Local HTA submissions'!$B:$B,'By year'!$A63,'Local HTA submissions'!$H:$H,'By year'!B$47)</f>
        <v>0</v>
      </c>
      <c r="C63" s="21">
        <f>COUNTIFS('Local HTA submissions'!$B:$B,'By year'!$A63,'Local HTA submissions'!$H:$H,'By year'!C$47)</f>
        <v>0</v>
      </c>
      <c r="D63" s="21">
        <f>COUNTIFS('Local HTA submissions'!$B:$B,'By year'!$A63,'Local HTA submissions'!$H:$H,'By year'!D$47)</f>
        <v>0</v>
      </c>
      <c r="E63" s="21">
        <f>COUNTIFS('Local HTA submissions'!$B:$B,'By year'!$A63,'Local HTA submissions'!$H:$H,'By year'!E$47)</f>
        <v>0</v>
      </c>
      <c r="F63" s="21">
        <f>COUNTIFS('Local HTA submissions'!$B:$B,'By year'!$A63,'Local HTA submissions'!$H:$H,'By year'!F$47)</f>
        <v>0</v>
      </c>
      <c r="G63" s="21">
        <f>COUNTIFS('Local HTA submissions'!$B:$B,'By year'!$A63,'Local HTA submissions'!$H:$H,'By year'!G$47)</f>
        <v>0</v>
      </c>
      <c r="H63" s="21">
        <f>COUNTIFS('Local HTA submissions'!$B:$B,'By year'!$A63,'Local HTA submissions'!$H:$H,'By year'!H$47)</f>
        <v>0</v>
      </c>
      <c r="I63" s="21">
        <f>COUNTIFS('Local HTA submissions'!$B:$B,'By year'!$A63,'Local HTA submissions'!$H:$H,'By year'!I$47)</f>
        <v>0</v>
      </c>
      <c r="J63" s="21">
        <f>COUNTIFS('Local HTA submissions'!$B:$B,'By year'!$A63,'Local HTA submissions'!$H:$H,'By year'!J$47)</f>
        <v>0</v>
      </c>
      <c r="K63" s="21">
        <f>COUNTIFS('Local HTA submissions'!$B:$B,'By year'!$A63,'Local HTA submissions'!$H:$H,'By year'!K$47)</f>
        <v>0</v>
      </c>
      <c r="L63" s="37">
        <f t="shared" si="2"/>
        <v>0</v>
      </c>
    </row>
    <row r="64" spans="1:12" hidden="1">
      <c r="A64" s="36">
        <f>'Local HTA submissions'!AA18</f>
        <v>0</v>
      </c>
      <c r="B64" s="21">
        <f>COUNTIFS('Local HTA submissions'!$B:$B,'By year'!$A64,'Local HTA submissions'!$H:$H,'By year'!B$47)</f>
        <v>0</v>
      </c>
      <c r="C64" s="21">
        <f>COUNTIFS('Local HTA submissions'!$B:$B,'By year'!$A64,'Local HTA submissions'!$H:$H,'By year'!C$47)</f>
        <v>0</v>
      </c>
      <c r="D64" s="21">
        <f>COUNTIFS('Local HTA submissions'!$B:$B,'By year'!$A64,'Local HTA submissions'!$H:$H,'By year'!D$47)</f>
        <v>0</v>
      </c>
      <c r="E64" s="21">
        <f>COUNTIFS('Local HTA submissions'!$B:$B,'By year'!$A64,'Local HTA submissions'!$H:$H,'By year'!E$47)</f>
        <v>0</v>
      </c>
      <c r="F64" s="21">
        <f>COUNTIFS('Local HTA submissions'!$B:$B,'By year'!$A64,'Local HTA submissions'!$H:$H,'By year'!F$47)</f>
        <v>0</v>
      </c>
      <c r="G64" s="21">
        <f>COUNTIFS('Local HTA submissions'!$B:$B,'By year'!$A64,'Local HTA submissions'!$H:$H,'By year'!G$47)</f>
        <v>0</v>
      </c>
      <c r="H64" s="21">
        <f>COUNTIFS('Local HTA submissions'!$B:$B,'By year'!$A64,'Local HTA submissions'!$H:$H,'By year'!H$47)</f>
        <v>0</v>
      </c>
      <c r="I64" s="21">
        <f>COUNTIFS('Local HTA submissions'!$B:$B,'By year'!$A64,'Local HTA submissions'!$H:$H,'By year'!I$47)</f>
        <v>0</v>
      </c>
      <c r="J64" s="21">
        <f>COUNTIFS('Local HTA submissions'!$B:$B,'By year'!$A64,'Local HTA submissions'!$H:$H,'By year'!J$47)</f>
        <v>0</v>
      </c>
      <c r="K64" s="21">
        <f>COUNTIFS('Local HTA submissions'!$B:$B,'By year'!$A64,'Local HTA submissions'!$H:$H,'By year'!K$47)</f>
        <v>0</v>
      </c>
      <c r="L64" s="37">
        <f t="shared" si="2"/>
        <v>0</v>
      </c>
    </row>
    <row r="65" spans="1:12" hidden="1">
      <c r="A65" s="36">
        <f>'Local HTA submissions'!AA19</f>
        <v>0</v>
      </c>
      <c r="B65" s="21">
        <f>COUNTIFS('Local HTA submissions'!$B:$B,'By year'!$A65,'Local HTA submissions'!$H:$H,'By year'!B$47)</f>
        <v>0</v>
      </c>
      <c r="C65" s="21">
        <f>COUNTIFS('Local HTA submissions'!$B:$B,'By year'!$A65,'Local HTA submissions'!$H:$H,'By year'!C$47)</f>
        <v>0</v>
      </c>
      <c r="D65" s="21">
        <f>COUNTIFS('Local HTA submissions'!$B:$B,'By year'!$A65,'Local HTA submissions'!$H:$H,'By year'!D$47)</f>
        <v>0</v>
      </c>
      <c r="E65" s="21">
        <f>COUNTIFS('Local HTA submissions'!$B:$B,'By year'!$A65,'Local HTA submissions'!$H:$H,'By year'!E$47)</f>
        <v>0</v>
      </c>
      <c r="F65" s="21">
        <f>COUNTIFS('Local HTA submissions'!$B:$B,'By year'!$A65,'Local HTA submissions'!$H:$H,'By year'!F$47)</f>
        <v>0</v>
      </c>
      <c r="G65" s="21">
        <f>COUNTIFS('Local HTA submissions'!$B:$B,'By year'!$A65,'Local HTA submissions'!$H:$H,'By year'!G$47)</f>
        <v>0</v>
      </c>
      <c r="H65" s="21">
        <f>COUNTIFS('Local HTA submissions'!$B:$B,'By year'!$A65,'Local HTA submissions'!$H:$H,'By year'!H$47)</f>
        <v>0</v>
      </c>
      <c r="I65" s="21">
        <f>COUNTIFS('Local HTA submissions'!$B:$B,'By year'!$A65,'Local HTA submissions'!$H:$H,'By year'!I$47)</f>
        <v>0</v>
      </c>
      <c r="J65" s="21">
        <f>COUNTIFS('Local HTA submissions'!$B:$B,'By year'!$A65,'Local HTA submissions'!$H:$H,'By year'!J$47)</f>
        <v>0</v>
      </c>
      <c r="K65" s="21">
        <f>COUNTIFS('Local HTA submissions'!$B:$B,'By year'!$A65,'Local HTA submissions'!$H:$H,'By year'!K$47)</f>
        <v>0</v>
      </c>
      <c r="L65" s="37">
        <f t="shared" si="2"/>
        <v>0</v>
      </c>
    </row>
    <row r="66" spans="1:12">
      <c r="A66" s="55" t="s">
        <v>699</v>
      </c>
      <c r="B66" s="56">
        <f>COUNTIFS('Local HTA submissions'!$B:$B,'By year'!$A66,'Local HTA submissions'!$H:$H,'By year'!B$47)</f>
        <v>0</v>
      </c>
      <c r="C66" s="56">
        <f t="shared" ref="C66:K66" si="3">SUBTOTAL(109,C48:C65)</f>
        <v>10</v>
      </c>
      <c r="D66" s="56">
        <f t="shared" si="3"/>
        <v>5</v>
      </c>
      <c r="E66" s="56">
        <f t="shared" si="3"/>
        <v>70</v>
      </c>
      <c r="F66" s="56">
        <f t="shared" si="3"/>
        <v>64</v>
      </c>
      <c r="G66" s="56">
        <f t="shared" si="3"/>
        <v>53</v>
      </c>
      <c r="H66" s="56">
        <f t="shared" si="3"/>
        <v>69</v>
      </c>
      <c r="I66" s="56">
        <f t="shared" si="3"/>
        <v>90</v>
      </c>
      <c r="J66" s="56">
        <f t="shared" si="3"/>
        <v>114</v>
      </c>
      <c r="K66" s="56">
        <f t="shared" si="3"/>
        <v>63</v>
      </c>
      <c r="L66" s="40">
        <f t="shared" si="2"/>
        <v>538</v>
      </c>
    </row>
    <row r="89" spans="1:12" ht="25.8">
      <c r="A89" s="27" t="s">
        <v>705</v>
      </c>
      <c r="B89" s="27"/>
      <c r="C89" s="27"/>
      <c r="D89" s="27"/>
      <c r="E89" s="27"/>
      <c r="F89" s="27"/>
      <c r="G89" s="27"/>
      <c r="H89" s="27"/>
      <c r="I89" s="27"/>
      <c r="J89" s="27"/>
      <c r="K89" s="27"/>
      <c r="L89" s="27"/>
    </row>
    <row r="91" spans="1:12">
      <c r="A91" s="17" t="s">
        <v>706</v>
      </c>
      <c r="B91" s="18"/>
      <c r="C91" s="18"/>
      <c r="D91" s="18"/>
      <c r="E91" s="18"/>
      <c r="F91" s="18"/>
      <c r="G91" s="18"/>
      <c r="H91" s="18"/>
      <c r="I91" s="18"/>
      <c r="J91" s="28"/>
    </row>
    <row r="92" spans="1:12">
      <c r="A92" s="41" t="s">
        <v>5</v>
      </c>
      <c r="B92" s="25" t="s">
        <v>681</v>
      </c>
      <c r="C92" s="25" t="s">
        <v>682</v>
      </c>
      <c r="D92" s="25" t="s">
        <v>187</v>
      </c>
      <c r="E92" s="25" t="s">
        <v>645</v>
      </c>
      <c r="F92" s="25" t="s">
        <v>11</v>
      </c>
      <c r="G92" s="47" t="s">
        <v>685</v>
      </c>
      <c r="H92" s="25" t="s">
        <v>644</v>
      </c>
      <c r="I92" s="42" t="s">
        <v>697</v>
      </c>
    </row>
    <row r="93" spans="1:12" hidden="1">
      <c r="A93" s="36">
        <f>'HTA scientific advice'!N8</f>
        <v>0</v>
      </c>
      <c r="B93" s="21">
        <f>COUNTIFS(Table1[Year],'By year'!$A93,Table1[HTA body],'By year'!B$92)</f>
        <v>0</v>
      </c>
      <c r="C93" s="21">
        <f>COUNTIFS(Table1[Year],'By year'!$A93,Table1[HTA body],'By year'!C$92)</f>
        <v>0</v>
      </c>
      <c r="D93" s="21">
        <f>COUNTIFS(Table1[Year],'By year'!$A93,Table1[HTA body],'By year'!D$92)</f>
        <v>0</v>
      </c>
      <c r="E93" s="21">
        <f>COUNTIFS(Table1[Year],'By year'!$A93,Table1[HTA body],'By year'!E$92)</f>
        <v>0</v>
      </c>
      <c r="F93" s="21">
        <f>COUNTIFS(Table1[Year],'By year'!$A93,Table1[HTA body],'By year'!F$92)</f>
        <v>0</v>
      </c>
      <c r="G93" s="21">
        <f>COUNTIFS(Table1[Year],'By year'!$A93,Table1[HTA body],'By year'!G$92)</f>
        <v>0</v>
      </c>
      <c r="H93" s="21">
        <f>COUNTIFS(Table1[Year],'By year'!$A93,Table1[HTA body],'By year'!H$92)</f>
        <v>0</v>
      </c>
      <c r="I93" s="37">
        <f t="shared" ref="I93:I106" si="4">SUM(B93:H93)</f>
        <v>0</v>
      </c>
    </row>
    <row r="94" spans="1:12" hidden="1">
      <c r="A94" s="36">
        <f>'HTA scientific advice'!N9</f>
        <v>0</v>
      </c>
      <c r="B94" s="21">
        <f>COUNTIFS(Table1[Year],'By year'!$A94,Table1[HTA body],'By year'!B$92)</f>
        <v>0</v>
      </c>
      <c r="C94" s="21">
        <f>COUNTIFS(Table1[Year],'By year'!$A94,Table1[HTA body],'By year'!C$92)</f>
        <v>0</v>
      </c>
      <c r="D94" s="21">
        <f>COUNTIFS(Table1[Year],'By year'!$A94,Table1[HTA body],'By year'!D$92)</f>
        <v>0</v>
      </c>
      <c r="E94" s="21">
        <f>COUNTIFS(Table1[Year],'By year'!$A94,Table1[HTA body],'By year'!E$92)</f>
        <v>0</v>
      </c>
      <c r="F94" s="21">
        <f>COUNTIFS(Table1[Year],'By year'!$A94,Table1[HTA body],'By year'!F$92)</f>
        <v>0</v>
      </c>
      <c r="G94" s="21">
        <f>COUNTIFS(Table1[Year],'By year'!$A94,Table1[HTA body],'By year'!G$92)</f>
        <v>0</v>
      </c>
      <c r="H94" s="21">
        <f>COUNTIFS(Table1[Year],'By year'!$A94,Table1[HTA body],'By year'!H$92)</f>
        <v>0</v>
      </c>
      <c r="I94" s="37">
        <f t="shared" si="4"/>
        <v>0</v>
      </c>
    </row>
    <row r="95" spans="1:12" hidden="1">
      <c r="A95" s="36">
        <f>'HTA scientific advice'!N10</f>
        <v>0</v>
      </c>
      <c r="B95" s="21">
        <f>COUNTIFS(Table1[Year],'By year'!$A95,Table1[HTA body],'By year'!B$92)</f>
        <v>0</v>
      </c>
      <c r="C95" s="21">
        <f>COUNTIFS(Table1[Year],'By year'!$A95,Table1[HTA body],'By year'!C$92)</f>
        <v>0</v>
      </c>
      <c r="D95" s="21">
        <f>COUNTIFS(Table1[Year],'By year'!$A95,Table1[HTA body],'By year'!D$92)</f>
        <v>0</v>
      </c>
      <c r="E95" s="21">
        <f>COUNTIFS(Table1[Year],'By year'!$A95,Table1[HTA body],'By year'!E$92)</f>
        <v>0</v>
      </c>
      <c r="F95" s="21">
        <f>COUNTIFS(Table1[Year],'By year'!$A95,Table1[HTA body],'By year'!F$92)</f>
        <v>0</v>
      </c>
      <c r="G95" s="21">
        <f>COUNTIFS(Table1[Year],'By year'!$A95,Table1[HTA body],'By year'!G$92)</f>
        <v>0</v>
      </c>
      <c r="H95" s="21">
        <f>COUNTIFS(Table1[Year],'By year'!$A95,Table1[HTA body],'By year'!H$92)</f>
        <v>0</v>
      </c>
      <c r="I95" s="37">
        <f t="shared" si="4"/>
        <v>0</v>
      </c>
    </row>
    <row r="96" spans="1:12" hidden="1">
      <c r="A96" s="36">
        <f>'HTA scientific advice'!N11</f>
        <v>0</v>
      </c>
      <c r="B96" s="21">
        <f>COUNTIFS(Table1[Year],'By year'!$A96,Table1[HTA body],'By year'!B$92)</f>
        <v>0</v>
      </c>
      <c r="C96" s="21">
        <f>COUNTIFS(Table1[Year],'By year'!$A96,Table1[HTA body],'By year'!C$92)</f>
        <v>0</v>
      </c>
      <c r="D96" s="21">
        <f>COUNTIFS(Table1[Year],'By year'!$A96,Table1[HTA body],'By year'!D$92)</f>
        <v>0</v>
      </c>
      <c r="E96" s="21">
        <f>COUNTIFS(Table1[Year],'By year'!$A96,Table1[HTA body],'By year'!E$92)</f>
        <v>0</v>
      </c>
      <c r="F96" s="21">
        <f>COUNTIFS(Table1[Year],'By year'!$A96,Table1[HTA body],'By year'!F$92)</f>
        <v>0</v>
      </c>
      <c r="G96" s="21">
        <f>COUNTIFS(Table1[Year],'By year'!$A96,Table1[HTA body],'By year'!G$92)</f>
        <v>0</v>
      </c>
      <c r="H96" s="21">
        <f>COUNTIFS(Table1[Year],'By year'!$A96,Table1[HTA body],'By year'!H$92)</f>
        <v>0</v>
      </c>
      <c r="I96" s="37">
        <f t="shared" si="4"/>
        <v>0</v>
      </c>
    </row>
    <row r="97" spans="1:9" hidden="1">
      <c r="A97" s="36">
        <f>'HTA scientific advice'!N12</f>
        <v>0</v>
      </c>
      <c r="B97" s="21">
        <f>COUNTIFS(Table1[Year],'By year'!$A97,Table1[HTA body],'By year'!B$92)</f>
        <v>0</v>
      </c>
      <c r="C97" s="21">
        <f>COUNTIFS(Table1[Year],'By year'!$A97,Table1[HTA body],'By year'!C$92)</f>
        <v>0</v>
      </c>
      <c r="D97" s="21">
        <f>COUNTIFS(Table1[Year],'By year'!$A97,Table1[HTA body],'By year'!D$92)</f>
        <v>0</v>
      </c>
      <c r="E97" s="21">
        <f>COUNTIFS(Table1[Year],'By year'!$A97,Table1[HTA body],'By year'!E$92)</f>
        <v>0</v>
      </c>
      <c r="F97" s="21">
        <f>COUNTIFS(Table1[Year],'By year'!$A97,Table1[HTA body],'By year'!F$92)</f>
        <v>0</v>
      </c>
      <c r="G97" s="21">
        <f>COUNTIFS(Table1[Year],'By year'!$A97,Table1[HTA body],'By year'!G$92)</f>
        <v>0</v>
      </c>
      <c r="H97" s="21">
        <f>COUNTIFS(Table1[Year],'By year'!$A97,Table1[HTA body],'By year'!H$92)</f>
        <v>0</v>
      </c>
      <c r="I97" s="37">
        <f t="shared" si="4"/>
        <v>0</v>
      </c>
    </row>
    <row r="98" spans="1:9" hidden="1">
      <c r="A98" s="36">
        <f>'HTA scientific advice'!N13</f>
        <v>0</v>
      </c>
      <c r="B98" s="21">
        <f>COUNTIFS(Table1[Year],'By year'!$A98,Table1[HTA body],'By year'!B$92)</f>
        <v>0</v>
      </c>
      <c r="C98" s="21">
        <f>COUNTIFS(Table1[Year],'By year'!$A98,Table1[HTA body],'By year'!C$92)</f>
        <v>0</v>
      </c>
      <c r="D98" s="21">
        <f>COUNTIFS(Table1[Year],'By year'!$A98,Table1[HTA body],'By year'!D$92)</f>
        <v>0</v>
      </c>
      <c r="E98" s="21">
        <f>COUNTIFS(Table1[Year],'By year'!$A98,Table1[HTA body],'By year'!E$92)</f>
        <v>0</v>
      </c>
      <c r="F98" s="21">
        <f>COUNTIFS(Table1[Year],'By year'!$A98,Table1[HTA body],'By year'!F$92)</f>
        <v>0</v>
      </c>
      <c r="G98" s="21">
        <f>COUNTIFS(Table1[Year],'By year'!$A98,Table1[HTA body],'By year'!G$92)</f>
        <v>0</v>
      </c>
      <c r="H98" s="21">
        <f>COUNTIFS(Table1[Year],'By year'!$A98,Table1[HTA body],'By year'!H$92)</f>
        <v>0</v>
      </c>
      <c r="I98" s="37">
        <f t="shared" si="4"/>
        <v>0</v>
      </c>
    </row>
    <row r="99" spans="1:9" hidden="1">
      <c r="A99" s="36">
        <f>'HTA scientific advice'!N14</f>
        <v>0</v>
      </c>
      <c r="B99" s="21">
        <f>COUNTIFS(Table1[Year],'By year'!$A99,Table1[HTA body],'By year'!B$92)</f>
        <v>0</v>
      </c>
      <c r="C99" s="21">
        <f>COUNTIFS(Table1[Year],'By year'!$A99,Table1[HTA body],'By year'!C$92)</f>
        <v>0</v>
      </c>
      <c r="D99" s="21">
        <f>COUNTIFS(Table1[Year],'By year'!$A99,Table1[HTA body],'By year'!D$92)</f>
        <v>0</v>
      </c>
      <c r="E99" s="21">
        <f>COUNTIFS(Table1[Year],'By year'!$A99,Table1[HTA body],'By year'!E$92)</f>
        <v>0</v>
      </c>
      <c r="F99" s="21">
        <f>COUNTIFS(Table1[Year],'By year'!$A99,Table1[HTA body],'By year'!F$92)</f>
        <v>0</v>
      </c>
      <c r="G99" s="21">
        <f>COUNTIFS(Table1[Year],'By year'!$A99,Table1[HTA body],'By year'!G$92)</f>
        <v>0</v>
      </c>
      <c r="H99" s="21">
        <f>COUNTIFS(Table1[Year],'By year'!$A99,Table1[HTA body],'By year'!H$92)</f>
        <v>0</v>
      </c>
      <c r="I99" s="40">
        <f t="shared" si="4"/>
        <v>0</v>
      </c>
    </row>
    <row r="100" spans="1:9" hidden="1">
      <c r="A100" s="36">
        <f>'HTA scientific advice'!N15</f>
        <v>0</v>
      </c>
      <c r="B100" s="21">
        <f>COUNTIFS(Table1[Year],'By year'!$A100,Table1[HTA body],'By year'!B$92)</f>
        <v>0</v>
      </c>
      <c r="C100" s="21">
        <f>COUNTIFS(Table1[Year],'By year'!$A100,Table1[HTA body],'By year'!C$92)</f>
        <v>0</v>
      </c>
      <c r="D100" s="21">
        <f>COUNTIFS(Table1[Year],'By year'!$A100,Table1[HTA body],'By year'!D$92)</f>
        <v>0</v>
      </c>
      <c r="E100" s="21">
        <f>COUNTIFS(Table1[Year],'By year'!$A100,Table1[HTA body],'By year'!E$92)</f>
        <v>0</v>
      </c>
      <c r="F100" s="21">
        <f>COUNTIFS(Table1[Year],'By year'!$A100,Table1[HTA body],'By year'!F$92)</f>
        <v>0</v>
      </c>
      <c r="G100" s="21">
        <f>COUNTIFS(Table1[Year],'By year'!$A100,Table1[HTA body],'By year'!G$92)</f>
        <v>0</v>
      </c>
      <c r="H100" s="21">
        <f>COUNTIFS(Table1[Year],'By year'!$A100,Table1[HTA body],'By year'!H$92)</f>
        <v>0</v>
      </c>
      <c r="I100" s="37">
        <f t="shared" si="4"/>
        <v>0</v>
      </c>
    </row>
    <row r="101" spans="1:9">
      <c r="A101" s="36">
        <f>'HTA scientific advice'!N7</f>
        <v>2016</v>
      </c>
      <c r="B101" s="21">
        <f>COUNTIFS(Table1[Year],'By year'!$A101,Table1[HTA body],'By year'!B$92)</f>
        <v>0</v>
      </c>
      <c r="C101" s="21">
        <f>COUNTIFS(Table1[Year],'By year'!$A101,Table1[HTA body],'By year'!C$92)</f>
        <v>0</v>
      </c>
      <c r="D101" s="21">
        <f>COUNTIFS(Table1[Year],'By year'!$A101,Table1[HTA body],'By year'!D$92)</f>
        <v>0</v>
      </c>
      <c r="E101" s="21">
        <f>COUNTIFS(Table1[Year],'By year'!$A101,Table1[HTA body],'By year'!E$92)</f>
        <v>0</v>
      </c>
      <c r="F101" s="21">
        <f>COUNTIFS(Table1[Year],'By year'!$A101,Table1[HTA body],'By year'!F$92)</f>
        <v>0</v>
      </c>
      <c r="G101" s="21">
        <f>COUNTIFS(Table1[Year],'By year'!$A101,Table1[HTA body],'By year'!G$92)</f>
        <v>1</v>
      </c>
      <c r="H101" s="21">
        <f>COUNTIFS(Table1[Year],'By year'!$A101,Table1[HTA body],'By year'!H$92)</f>
        <v>0</v>
      </c>
      <c r="I101" s="37">
        <f t="shared" si="4"/>
        <v>1</v>
      </c>
    </row>
    <row r="102" spans="1:9">
      <c r="A102" s="36">
        <f>'HTA scientific advice'!N5</f>
        <v>2017</v>
      </c>
      <c r="B102" s="21">
        <f>COUNTIFS(Table1[Year],'By year'!$A102,Table1[HTA body],'By year'!B$92)</f>
        <v>0</v>
      </c>
      <c r="C102" s="21">
        <f>COUNTIFS(Table1[Year],'By year'!$A102,Table1[HTA body],'By year'!C$92)</f>
        <v>1</v>
      </c>
      <c r="D102" s="21">
        <f>COUNTIFS(Table1[Year],'By year'!$A102,Table1[HTA body],'By year'!D$92)</f>
        <v>0</v>
      </c>
      <c r="E102" s="21">
        <f>COUNTIFS(Table1[Year],'By year'!$A102,Table1[HTA body],'By year'!E$92)</f>
        <v>0</v>
      </c>
      <c r="F102" s="21">
        <f>COUNTIFS(Table1[Year],'By year'!$A102,Table1[HTA body],'By year'!F$92)</f>
        <v>0</v>
      </c>
      <c r="G102" s="21">
        <f>COUNTIFS(Table1[Year],'By year'!$A102,Table1[HTA body],'By year'!G$92)</f>
        <v>0</v>
      </c>
      <c r="H102" s="21">
        <f>COUNTIFS(Table1[Year],'By year'!$A102,Table1[HTA body],'By year'!H$92)</f>
        <v>0</v>
      </c>
      <c r="I102" s="37">
        <f t="shared" si="4"/>
        <v>1</v>
      </c>
    </row>
    <row r="103" spans="1:9">
      <c r="A103" s="36">
        <f>'HTA scientific advice'!N2</f>
        <v>2018</v>
      </c>
      <c r="B103" s="21">
        <f>COUNTIFS(Table1[Year],'By year'!$A103,Table1[HTA body],'By year'!B$92)</f>
        <v>1</v>
      </c>
      <c r="C103" s="21">
        <f>COUNTIFS(Table1[Year],'By year'!$A103,Table1[HTA body],'By year'!C$92)</f>
        <v>0</v>
      </c>
      <c r="D103" s="21">
        <f>COUNTIFS(Table1[Year],'By year'!$A103,Table1[HTA body],'By year'!D$92)</f>
        <v>1</v>
      </c>
      <c r="E103" s="21">
        <f>COUNTIFS(Table1[Year],'By year'!$A103,Table1[HTA body],'By year'!E$92)</f>
        <v>1</v>
      </c>
      <c r="F103" s="21">
        <f>COUNTIFS(Table1[Year],'By year'!$A103,Table1[HTA body],'By year'!F$92)</f>
        <v>1</v>
      </c>
      <c r="G103" s="21">
        <f>COUNTIFS(Table1[Year],'By year'!$A103,Table1[HTA body],'By year'!G$92)</f>
        <v>0</v>
      </c>
      <c r="H103" s="21">
        <f>COUNTIFS(Table1[Year],'By year'!$A103,Table1[HTA body],'By year'!H$92)</f>
        <v>0</v>
      </c>
      <c r="I103" s="37">
        <f t="shared" si="4"/>
        <v>4</v>
      </c>
    </row>
    <row r="104" spans="1:9">
      <c r="A104" s="36">
        <f>'HTA scientific advice'!N6</f>
        <v>2019</v>
      </c>
      <c r="B104" s="21">
        <f>COUNTIFS(Table1[Year],'By year'!$A104,Table1[HTA body],'By year'!B$92)</f>
        <v>0</v>
      </c>
      <c r="C104" s="21">
        <f>COUNTIFS(Table1[Year],'By year'!$A104,Table1[HTA body],'By year'!C$92)</f>
        <v>0</v>
      </c>
      <c r="D104" s="21">
        <f>COUNTIFS(Table1[Year],'By year'!$A104,Table1[HTA body],'By year'!D$92)</f>
        <v>0</v>
      </c>
      <c r="E104" s="21">
        <f>COUNTIFS(Table1[Year],'By year'!$A104,Table1[HTA body],'By year'!E$92)</f>
        <v>0</v>
      </c>
      <c r="F104" s="21">
        <f>COUNTIFS(Table1[Year],'By year'!$A104,Table1[HTA body],'By year'!F$92)</f>
        <v>1</v>
      </c>
      <c r="G104" s="21">
        <f>COUNTIFS(Table1[Year],'By year'!$A104,Table1[HTA body],'By year'!G$92)</f>
        <v>0</v>
      </c>
      <c r="H104" s="21">
        <f>COUNTIFS(Table1[Year],'By year'!$A104,Table1[HTA body],'By year'!H$92)</f>
        <v>0</v>
      </c>
      <c r="I104" s="37">
        <f t="shared" si="4"/>
        <v>1</v>
      </c>
    </row>
    <row r="105" spans="1:9">
      <c r="A105" s="36">
        <f>'HTA scientific advice'!N4</f>
        <v>2020</v>
      </c>
      <c r="B105" s="21">
        <f>COUNTIFS(Table1[Year],'By year'!$A105,Table1[HTA body],'By year'!B$92)</f>
        <v>0</v>
      </c>
      <c r="C105" s="21">
        <f>COUNTIFS(Table1[Year],'By year'!$A105,Table1[HTA body],'By year'!C$92)</f>
        <v>0</v>
      </c>
      <c r="D105" s="21">
        <f>COUNTIFS(Table1[Year],'By year'!$A105,Table1[HTA body],'By year'!D$92)</f>
        <v>0</v>
      </c>
      <c r="E105" s="21">
        <f>COUNTIFS(Table1[Year],'By year'!$A105,Table1[HTA body],'By year'!E$92)</f>
        <v>0</v>
      </c>
      <c r="F105" s="21">
        <f>COUNTIFS(Table1[Year],'By year'!$A105,Table1[HTA body],'By year'!F$92)</f>
        <v>0</v>
      </c>
      <c r="G105" s="21">
        <f>COUNTIFS(Table1[Year],'By year'!$A105,Table1[HTA body],'By year'!G$92)</f>
        <v>0</v>
      </c>
      <c r="H105" s="21">
        <f>COUNTIFS(Table1[Year],'By year'!$A105,Table1[HTA body],'By year'!H$92)</f>
        <v>1</v>
      </c>
      <c r="I105" s="37">
        <f t="shared" si="4"/>
        <v>1</v>
      </c>
    </row>
    <row r="106" spans="1:9">
      <c r="A106" s="36">
        <f>'HTA scientific advice'!N3</f>
        <v>2021</v>
      </c>
      <c r="B106" s="21">
        <f>COUNTIFS(Table1[Year],'By year'!$A106,Table1[HTA body],'By year'!B$92)</f>
        <v>0</v>
      </c>
      <c r="C106" s="21">
        <f>COUNTIFS(Table1[Year],'By year'!$A106,Table1[HTA body],'By year'!C$92)</f>
        <v>0</v>
      </c>
      <c r="D106" s="21">
        <f>COUNTIFS(Table1[Year],'By year'!$A106,Table1[HTA body],'By year'!D$92)</f>
        <v>2</v>
      </c>
      <c r="E106" s="21">
        <f>COUNTIFS(Table1[Year],'By year'!$A106,Table1[HTA body],'By year'!E$92)</f>
        <v>2</v>
      </c>
      <c r="F106" s="21">
        <f>COUNTIFS(Table1[Year],'By year'!$A106,Table1[HTA body],'By year'!F$92)</f>
        <v>2</v>
      </c>
      <c r="G106" s="21">
        <f>COUNTIFS(Table1[Year],'By year'!$A106,Table1[HTA body],'By year'!G$92)</f>
        <v>0</v>
      </c>
      <c r="H106" s="21">
        <f>COUNTIFS(Table1[Year],'By year'!$A106,Table1[HTA body],'By year'!H$92)</f>
        <v>0</v>
      </c>
      <c r="I106" s="37">
        <f t="shared" si="4"/>
        <v>6</v>
      </c>
    </row>
    <row r="107" spans="1:9">
      <c r="A107" s="68" t="s">
        <v>697</v>
      </c>
      <c r="B107" s="69">
        <f>SUBTOTAL(109,Table6[CADTH])</f>
        <v>1</v>
      </c>
      <c r="C107" s="69">
        <f>SUBTOTAL(109,Table6[EUnetHTA])</f>
        <v>1</v>
      </c>
      <c r="D107" s="69">
        <f>SUBTOTAL(109,Table6[G-BA])</f>
        <v>3</v>
      </c>
      <c r="E107" s="69">
        <f>SUBTOTAL(109,Table6[HAS])</f>
        <v>3</v>
      </c>
      <c r="F107" s="69">
        <f>SUBTOTAL(109,Table6[NICE])</f>
        <v>4</v>
      </c>
      <c r="G107" s="69">
        <f>SUBTOTAL(109,Table6[Parallel EMA / HTA])</f>
        <v>1</v>
      </c>
      <c r="H107" s="69">
        <f>SUBTOTAL(109,Table6[ZIN])</f>
        <v>1</v>
      </c>
      <c r="I107" s="69">
        <f>SUBTOTAL(109,Table6[Total])</f>
        <v>14</v>
      </c>
    </row>
    <row r="132" spans="1:12" ht="25.8">
      <c r="A132" s="27" t="s">
        <v>707</v>
      </c>
      <c r="B132" s="27"/>
      <c r="C132" s="27"/>
      <c r="D132" s="27"/>
      <c r="E132" s="27"/>
      <c r="F132" s="27"/>
      <c r="G132" s="27"/>
      <c r="H132" s="27"/>
      <c r="I132" s="27"/>
      <c r="J132" s="27"/>
      <c r="K132" s="27"/>
      <c r="L132" s="27"/>
    </row>
    <row r="134" spans="1:12">
      <c r="A134" s="49" t="s">
        <v>720</v>
      </c>
      <c r="B134" s="45"/>
      <c r="C134" s="45"/>
      <c r="D134" s="45"/>
      <c r="E134" s="45"/>
      <c r="F134" s="45"/>
      <c r="G134" s="45"/>
      <c r="H134" s="45"/>
      <c r="I134" s="45"/>
    </row>
    <row r="135" spans="1:12">
      <c r="A135" s="82" t="s">
        <v>4</v>
      </c>
      <c r="B135" s="51" t="s">
        <v>711</v>
      </c>
      <c r="C135" s="51" t="s">
        <v>712</v>
      </c>
      <c r="D135" s="51" t="s">
        <v>713</v>
      </c>
      <c r="E135" s="51" t="s">
        <v>714</v>
      </c>
      <c r="F135" s="51" t="s">
        <v>715</v>
      </c>
      <c r="G135" s="51" t="s">
        <v>716</v>
      </c>
      <c r="H135" s="51" t="s">
        <v>717</v>
      </c>
      <c r="I135" s="25" t="s">
        <v>697</v>
      </c>
    </row>
    <row r="136" spans="1:12" hidden="1">
      <c r="A136" s="36">
        <f>GVDs!K26</f>
        <v>0</v>
      </c>
      <c r="B136" s="21">
        <f>COUNTIFS(Table2[Indication],'By year'!$A136,Table2[Year],'By year'!B$135)</f>
        <v>0</v>
      </c>
      <c r="C136" s="21">
        <f>COUNTIFS(Table2[Indication],'By year'!$A136,Table2[Year],'By year'!C$135)</f>
        <v>0</v>
      </c>
      <c r="D136" s="21">
        <f>COUNTIFS(Table2[Indication],'By year'!$A136,Table2[Year],'By year'!D$135)</f>
        <v>0</v>
      </c>
      <c r="E136" s="21">
        <f>COUNTIFS(Table2[Indication],'By year'!$A136,Table2[Year],'By year'!E$135)</f>
        <v>0</v>
      </c>
      <c r="F136" s="21">
        <f>COUNTIFS(Table2[Indication],'By year'!$A136,Table2[Year],'By year'!F$135)</f>
        <v>0</v>
      </c>
      <c r="G136" s="21">
        <f>COUNTIFS(Table2[Indication],'By year'!$A136,Table2[Year],'By year'!G$135)</f>
        <v>0</v>
      </c>
      <c r="H136" s="21">
        <f>COUNTIFS(Table2[Indication],'By year'!$A136,Table2[Year],'By year'!H$135)</f>
        <v>0</v>
      </c>
      <c r="I136" s="22">
        <f t="shared" ref="I136:I170" si="5">SUM(B136:H136)</f>
        <v>0</v>
      </c>
    </row>
    <row r="137" spans="1:12" hidden="1">
      <c r="A137" s="36">
        <f>GVDs!K27</f>
        <v>0</v>
      </c>
      <c r="B137" s="21">
        <f>COUNTIFS(Table2[Indication],'By year'!$A137,Table2[Year],'By year'!B$135)</f>
        <v>0</v>
      </c>
      <c r="C137" s="21">
        <f>COUNTIFS(Table2[Indication],'By year'!$A137,Table2[Year],'By year'!C$135)</f>
        <v>0</v>
      </c>
      <c r="D137" s="21">
        <f>COUNTIFS(Table2[Indication],'By year'!$A137,Table2[Year],'By year'!D$135)</f>
        <v>0</v>
      </c>
      <c r="E137" s="21">
        <f>COUNTIFS(Table2[Indication],'By year'!$A137,Table2[Year],'By year'!E$135)</f>
        <v>0</v>
      </c>
      <c r="F137" s="21">
        <f>COUNTIFS(Table2[Indication],'By year'!$A137,Table2[Year],'By year'!F$135)</f>
        <v>0</v>
      </c>
      <c r="G137" s="21">
        <f>COUNTIFS(Table2[Indication],'By year'!$A137,Table2[Year],'By year'!G$135)</f>
        <v>0</v>
      </c>
      <c r="H137" s="21">
        <f>COUNTIFS(Table2[Indication],'By year'!$A137,Table2[Year],'By year'!H$135)</f>
        <v>0</v>
      </c>
      <c r="I137" s="22">
        <f t="shared" si="5"/>
        <v>0</v>
      </c>
    </row>
    <row r="138" spans="1:12" hidden="1">
      <c r="A138" s="36">
        <f>GVDs!K28</f>
        <v>0</v>
      </c>
      <c r="B138" s="21">
        <f>COUNTIFS(Table2[Indication],'By year'!$A138,Table2[Year],'By year'!B$135)</f>
        <v>0</v>
      </c>
      <c r="C138" s="21">
        <f>COUNTIFS(Table2[Indication],'By year'!$A138,Table2[Year],'By year'!C$135)</f>
        <v>0</v>
      </c>
      <c r="D138" s="21">
        <f>COUNTIFS(Table2[Indication],'By year'!$A138,Table2[Year],'By year'!D$135)</f>
        <v>0</v>
      </c>
      <c r="E138" s="21">
        <f>COUNTIFS(Table2[Indication],'By year'!$A138,Table2[Year],'By year'!E$135)</f>
        <v>0</v>
      </c>
      <c r="F138" s="21">
        <f>COUNTIFS(Table2[Indication],'By year'!$A138,Table2[Year],'By year'!F$135)</f>
        <v>0</v>
      </c>
      <c r="G138" s="21">
        <f>COUNTIFS(Table2[Indication],'By year'!$A138,Table2[Year],'By year'!G$135)</f>
        <v>0</v>
      </c>
      <c r="H138" s="21">
        <f>COUNTIFS(Table2[Indication],'By year'!$A138,Table2[Year],'By year'!H$135)</f>
        <v>0</v>
      </c>
      <c r="I138" s="22">
        <f t="shared" si="5"/>
        <v>0</v>
      </c>
    </row>
    <row r="139" spans="1:12" hidden="1">
      <c r="A139" s="36">
        <f>GVDs!K29</f>
        <v>0</v>
      </c>
      <c r="B139" s="21">
        <f>COUNTIFS(Table2[Indication],'By year'!$A139,Table2[Year],'By year'!B$135)</f>
        <v>0</v>
      </c>
      <c r="C139" s="21">
        <f>COUNTIFS(Table2[Indication],'By year'!$A139,Table2[Year],'By year'!C$135)</f>
        <v>0</v>
      </c>
      <c r="D139" s="21">
        <f>COUNTIFS(Table2[Indication],'By year'!$A139,Table2[Year],'By year'!D$135)</f>
        <v>0</v>
      </c>
      <c r="E139" s="21">
        <f>COUNTIFS(Table2[Indication],'By year'!$A139,Table2[Year],'By year'!E$135)</f>
        <v>0</v>
      </c>
      <c r="F139" s="21">
        <f>COUNTIFS(Table2[Indication],'By year'!$A139,Table2[Year],'By year'!F$135)</f>
        <v>0</v>
      </c>
      <c r="G139" s="21">
        <f>COUNTIFS(Table2[Indication],'By year'!$A139,Table2[Year],'By year'!G$135)</f>
        <v>0</v>
      </c>
      <c r="H139" s="21">
        <f>COUNTIFS(Table2[Indication],'By year'!$A139,Table2[Year],'By year'!H$135)</f>
        <v>0</v>
      </c>
      <c r="I139" s="22">
        <f t="shared" si="5"/>
        <v>0</v>
      </c>
    </row>
    <row r="140" spans="1:12" hidden="1">
      <c r="A140" s="36">
        <f>GVDs!K30</f>
        <v>0</v>
      </c>
      <c r="B140" s="21">
        <f>COUNTIFS(Table2[Indication],'By year'!$A140,Table2[Year],'By year'!B$135)</f>
        <v>0</v>
      </c>
      <c r="C140" s="21">
        <f>COUNTIFS(Table2[Indication],'By year'!$A140,Table2[Year],'By year'!C$135)</f>
        <v>0</v>
      </c>
      <c r="D140" s="21">
        <f>COUNTIFS(Table2[Indication],'By year'!$A140,Table2[Year],'By year'!D$135)</f>
        <v>0</v>
      </c>
      <c r="E140" s="21">
        <f>COUNTIFS(Table2[Indication],'By year'!$A140,Table2[Year],'By year'!E$135)</f>
        <v>0</v>
      </c>
      <c r="F140" s="21">
        <f>COUNTIFS(Table2[Indication],'By year'!$A140,Table2[Year],'By year'!F$135)</f>
        <v>0</v>
      </c>
      <c r="G140" s="21">
        <f>COUNTIFS(Table2[Indication],'By year'!$A140,Table2[Year],'By year'!G$135)</f>
        <v>0</v>
      </c>
      <c r="H140" s="21">
        <f>COUNTIFS(Table2[Indication],'By year'!$A140,Table2[Year],'By year'!H$135)</f>
        <v>0</v>
      </c>
      <c r="I140" s="22">
        <f t="shared" si="5"/>
        <v>0</v>
      </c>
    </row>
    <row r="141" spans="1:12" hidden="1">
      <c r="A141" s="36">
        <f>GVDs!K31</f>
        <v>0</v>
      </c>
      <c r="B141" s="21">
        <f>COUNTIFS(Table2[Indication],'By year'!$A141,Table2[Year],'By year'!B$135)</f>
        <v>0</v>
      </c>
      <c r="C141" s="21">
        <f>COUNTIFS(Table2[Indication],'By year'!$A141,Table2[Year],'By year'!C$135)</f>
        <v>0</v>
      </c>
      <c r="D141" s="21">
        <f>COUNTIFS(Table2[Indication],'By year'!$A141,Table2[Year],'By year'!D$135)</f>
        <v>0</v>
      </c>
      <c r="E141" s="21">
        <f>COUNTIFS(Table2[Indication],'By year'!$A141,Table2[Year],'By year'!E$135)</f>
        <v>0</v>
      </c>
      <c r="F141" s="21">
        <f>COUNTIFS(Table2[Indication],'By year'!$A141,Table2[Year],'By year'!F$135)</f>
        <v>0</v>
      </c>
      <c r="G141" s="21">
        <f>COUNTIFS(Table2[Indication],'By year'!$A141,Table2[Year],'By year'!G$135)</f>
        <v>0</v>
      </c>
      <c r="H141" s="21">
        <f>COUNTIFS(Table2[Indication],'By year'!$A141,Table2[Year],'By year'!H$135)</f>
        <v>0</v>
      </c>
      <c r="I141" s="22">
        <f t="shared" si="5"/>
        <v>0</v>
      </c>
    </row>
    <row r="142" spans="1:12" hidden="1">
      <c r="A142" s="36">
        <f>GVDs!K32</f>
        <v>0</v>
      </c>
      <c r="B142" s="21">
        <f>COUNTIFS(Table2[Indication],'By year'!$A142,Table2[Year],'By year'!B$135)</f>
        <v>0</v>
      </c>
      <c r="C142" s="21">
        <f>COUNTIFS(Table2[Indication],'By year'!$A142,Table2[Year],'By year'!C$135)</f>
        <v>0</v>
      </c>
      <c r="D142" s="21">
        <f>COUNTIFS(Table2[Indication],'By year'!$A142,Table2[Year],'By year'!D$135)</f>
        <v>0</v>
      </c>
      <c r="E142" s="21">
        <f>COUNTIFS(Table2[Indication],'By year'!$A142,Table2[Year],'By year'!E$135)</f>
        <v>0</v>
      </c>
      <c r="F142" s="21">
        <f>COUNTIFS(Table2[Indication],'By year'!$A142,Table2[Year],'By year'!F$135)</f>
        <v>0</v>
      </c>
      <c r="G142" s="21">
        <f>COUNTIFS(Table2[Indication],'By year'!$A142,Table2[Year],'By year'!G$135)</f>
        <v>0</v>
      </c>
      <c r="H142" s="21">
        <f>COUNTIFS(Table2[Indication],'By year'!$A142,Table2[Year],'By year'!H$135)</f>
        <v>0</v>
      </c>
      <c r="I142" s="22">
        <f t="shared" si="5"/>
        <v>0</v>
      </c>
    </row>
    <row r="143" spans="1:12" hidden="1">
      <c r="A143" s="36">
        <f>GVDs!K33</f>
        <v>0</v>
      </c>
      <c r="B143" s="21">
        <f>COUNTIFS(Table2[Indication],'By year'!$A143,Table2[Year],'By year'!B$135)</f>
        <v>0</v>
      </c>
      <c r="C143" s="21">
        <f>COUNTIFS(Table2[Indication],'By year'!$A143,Table2[Year],'By year'!C$135)</f>
        <v>0</v>
      </c>
      <c r="D143" s="21">
        <f>COUNTIFS(Table2[Indication],'By year'!$A143,Table2[Year],'By year'!D$135)</f>
        <v>0</v>
      </c>
      <c r="E143" s="21">
        <f>COUNTIFS(Table2[Indication],'By year'!$A143,Table2[Year],'By year'!E$135)</f>
        <v>0</v>
      </c>
      <c r="F143" s="21">
        <f>COUNTIFS(Table2[Indication],'By year'!$A143,Table2[Year],'By year'!F$135)</f>
        <v>0</v>
      </c>
      <c r="G143" s="21">
        <f>COUNTIFS(Table2[Indication],'By year'!$A143,Table2[Year],'By year'!G$135)</f>
        <v>0</v>
      </c>
      <c r="H143" s="21">
        <f>COUNTIFS(Table2[Indication],'By year'!$A143,Table2[Year],'By year'!H$135)</f>
        <v>0</v>
      </c>
      <c r="I143" s="22">
        <f t="shared" si="5"/>
        <v>0</v>
      </c>
    </row>
    <row r="144" spans="1:12" hidden="1">
      <c r="A144" s="36">
        <f>GVDs!K34</f>
        <v>0</v>
      </c>
      <c r="B144" s="21">
        <f>COUNTIFS(Table2[Indication],'By year'!$A144,Table2[Year],'By year'!B$135)</f>
        <v>0</v>
      </c>
      <c r="C144" s="21">
        <f>COUNTIFS(Table2[Indication],'By year'!$A144,Table2[Year],'By year'!C$135)</f>
        <v>0</v>
      </c>
      <c r="D144" s="21">
        <f>COUNTIFS(Table2[Indication],'By year'!$A144,Table2[Year],'By year'!D$135)</f>
        <v>0</v>
      </c>
      <c r="E144" s="21">
        <f>COUNTIFS(Table2[Indication],'By year'!$A144,Table2[Year],'By year'!E$135)</f>
        <v>0</v>
      </c>
      <c r="F144" s="21">
        <f>COUNTIFS(Table2[Indication],'By year'!$A144,Table2[Year],'By year'!F$135)</f>
        <v>0</v>
      </c>
      <c r="G144" s="21">
        <f>COUNTIFS(Table2[Indication],'By year'!$A144,Table2[Year],'By year'!G$135)</f>
        <v>0</v>
      </c>
      <c r="H144" s="21">
        <f>COUNTIFS(Table2[Indication],'By year'!$A144,Table2[Year],'By year'!H$135)</f>
        <v>0</v>
      </c>
      <c r="I144" s="22">
        <f t="shared" si="5"/>
        <v>0</v>
      </c>
    </row>
    <row r="145" spans="1:9" hidden="1">
      <c r="A145" s="36">
        <f>GVDs!K35</f>
        <v>0</v>
      </c>
      <c r="B145" s="21">
        <f>COUNTIFS(Table2[Indication],'By year'!$A145,Table2[Year],'By year'!B$135)</f>
        <v>0</v>
      </c>
      <c r="C145" s="21">
        <f>COUNTIFS(Table2[Indication],'By year'!$A145,Table2[Year],'By year'!C$135)</f>
        <v>0</v>
      </c>
      <c r="D145" s="21">
        <f>COUNTIFS(Table2[Indication],'By year'!$A145,Table2[Year],'By year'!D$135)</f>
        <v>0</v>
      </c>
      <c r="E145" s="21">
        <f>COUNTIFS(Table2[Indication],'By year'!$A145,Table2[Year],'By year'!E$135)</f>
        <v>0</v>
      </c>
      <c r="F145" s="21">
        <f>COUNTIFS(Table2[Indication],'By year'!$A145,Table2[Year],'By year'!F$135)</f>
        <v>0</v>
      </c>
      <c r="G145" s="21">
        <f>COUNTIFS(Table2[Indication],'By year'!$A145,Table2[Year],'By year'!G$135)</f>
        <v>0</v>
      </c>
      <c r="H145" s="21">
        <f>COUNTIFS(Table2[Indication],'By year'!$A145,Table2[Year],'By year'!H$135)</f>
        <v>0</v>
      </c>
      <c r="I145" s="22">
        <f t="shared" si="5"/>
        <v>0</v>
      </c>
    </row>
    <row r="146" spans="1:9" hidden="1">
      <c r="A146" s="36">
        <f>GVDs!K36</f>
        <v>0</v>
      </c>
      <c r="B146" s="21">
        <f>COUNTIFS(Table2[Indication],'By year'!$A146,Table2[Year],'By year'!B$135)</f>
        <v>0</v>
      </c>
      <c r="C146" s="21">
        <f>COUNTIFS(Table2[Indication],'By year'!$A146,Table2[Year],'By year'!C$135)</f>
        <v>0</v>
      </c>
      <c r="D146" s="21">
        <f>COUNTIFS(Table2[Indication],'By year'!$A146,Table2[Year],'By year'!D$135)</f>
        <v>0</v>
      </c>
      <c r="E146" s="21">
        <f>COUNTIFS(Table2[Indication],'By year'!$A146,Table2[Year],'By year'!E$135)</f>
        <v>0</v>
      </c>
      <c r="F146" s="21">
        <f>COUNTIFS(Table2[Indication],'By year'!$A146,Table2[Year],'By year'!F$135)</f>
        <v>0</v>
      </c>
      <c r="G146" s="21">
        <f>COUNTIFS(Table2[Indication],'By year'!$A146,Table2[Year],'By year'!G$135)</f>
        <v>0</v>
      </c>
      <c r="H146" s="21">
        <f>COUNTIFS(Table2[Indication],'By year'!$A146,Table2[Year],'By year'!H$135)</f>
        <v>0</v>
      </c>
      <c r="I146" s="22">
        <f t="shared" si="5"/>
        <v>0</v>
      </c>
    </row>
    <row r="147" spans="1:9">
      <c r="A147" s="36" t="str">
        <f>GVDs!K4</f>
        <v xml:space="preserve">Acromegaly product </v>
      </c>
      <c r="B147" s="21">
        <f>COUNTIFS(Table2[Indication],'By year'!$A147,Table2[Year],'By year'!B$135)</f>
        <v>1</v>
      </c>
      <c r="C147" s="21">
        <f>COUNTIFS(Table2[Indication],'By year'!$A147,Table2[Year],'By year'!C$135)</f>
        <v>0</v>
      </c>
      <c r="D147" s="21">
        <f>COUNTIFS(Table2[Indication],'By year'!$A147,Table2[Year],'By year'!D$135)</f>
        <v>0</v>
      </c>
      <c r="E147" s="21">
        <f>COUNTIFS(Table2[Indication],'By year'!$A147,Table2[Year],'By year'!E$135)</f>
        <v>0</v>
      </c>
      <c r="F147" s="21">
        <f>COUNTIFS(Table2[Indication],'By year'!$A147,Table2[Year],'By year'!F$135)</f>
        <v>0</v>
      </c>
      <c r="G147" s="21">
        <f>COUNTIFS(Table2[Indication],'By year'!$A147,Table2[Year],'By year'!G$135)</f>
        <v>0</v>
      </c>
      <c r="H147" s="21">
        <f>COUNTIFS(Table2[Indication],'By year'!$A147,Table2[Year],'By year'!H$135)</f>
        <v>0</v>
      </c>
      <c r="I147" s="22">
        <f t="shared" si="5"/>
        <v>1</v>
      </c>
    </row>
    <row r="148" spans="1:9">
      <c r="A148" s="36" t="str">
        <f>GVDs!K25</f>
        <v>Advanced renal cell carcinoma</v>
      </c>
      <c r="B148" s="21">
        <f>COUNTIFS(Table2[Indication],'By year'!$A148,Table2[Year],'By year'!B$135)</f>
        <v>0</v>
      </c>
      <c r="C148" s="21">
        <f>COUNTIFS(Table2[Indication],'By year'!$A148,Table2[Year],'By year'!C$135)</f>
        <v>0</v>
      </c>
      <c r="D148" s="21">
        <f>COUNTIFS(Table2[Indication],'By year'!$A148,Table2[Year],'By year'!D$135)</f>
        <v>0</v>
      </c>
      <c r="E148" s="21">
        <f>COUNTIFS(Table2[Indication],'By year'!$A148,Table2[Year],'By year'!E$135)</f>
        <v>0</v>
      </c>
      <c r="F148" s="21">
        <f>COUNTIFS(Table2[Indication],'By year'!$A148,Table2[Year],'By year'!F$135)</f>
        <v>0</v>
      </c>
      <c r="G148" s="21">
        <f>COUNTIFS(Table2[Indication],'By year'!$A148,Table2[Year],'By year'!G$135)</f>
        <v>0</v>
      </c>
      <c r="H148" s="21">
        <f>COUNTIFS(Table2[Indication],'By year'!$A148,Table2[Year],'By year'!H$135)</f>
        <v>1</v>
      </c>
      <c r="I148" s="22">
        <f t="shared" si="5"/>
        <v>1</v>
      </c>
    </row>
    <row r="149" spans="1:9">
      <c r="A149" s="36" t="str">
        <f>GVDs!K2</f>
        <v xml:space="preserve">Anticoagulant product in venous thromboembolism </v>
      </c>
      <c r="B149" s="21">
        <f>COUNTIFS(Table2[Indication],'By year'!$A149,Table2[Year],'By year'!B$135)</f>
        <v>1</v>
      </c>
      <c r="C149" s="21">
        <f>COUNTIFS(Table2[Indication],'By year'!$A149,Table2[Year],'By year'!C$135)</f>
        <v>0</v>
      </c>
      <c r="D149" s="21">
        <f>COUNTIFS(Table2[Indication],'By year'!$A149,Table2[Year],'By year'!D$135)</f>
        <v>0</v>
      </c>
      <c r="E149" s="21">
        <f>COUNTIFS(Table2[Indication],'By year'!$A149,Table2[Year],'By year'!E$135)</f>
        <v>0</v>
      </c>
      <c r="F149" s="21">
        <f>COUNTIFS(Table2[Indication],'By year'!$A149,Table2[Year],'By year'!F$135)</f>
        <v>0</v>
      </c>
      <c r="G149" s="21">
        <f>COUNTIFS(Table2[Indication],'By year'!$A149,Table2[Year],'By year'!G$135)</f>
        <v>0</v>
      </c>
      <c r="H149" s="21">
        <f>COUNTIFS(Table2[Indication],'By year'!$A149,Table2[Year],'By year'!H$135)</f>
        <v>0</v>
      </c>
      <c r="I149" s="22">
        <f t="shared" si="5"/>
        <v>1</v>
      </c>
    </row>
    <row r="150" spans="1:9">
      <c r="A150" s="36" t="str">
        <f>GVDs!K9</f>
        <v xml:space="preserve">Asthma product </v>
      </c>
      <c r="B150" s="21">
        <f>COUNTIFS(Table2[Indication],'By year'!$A150,Table2[Year],'By year'!B$135)</f>
        <v>0</v>
      </c>
      <c r="C150" s="21">
        <f>COUNTIFS(Table2[Indication],'By year'!$A150,Table2[Year],'By year'!C$135)</f>
        <v>0</v>
      </c>
      <c r="D150" s="21">
        <f>COUNTIFS(Table2[Indication],'By year'!$A150,Table2[Year],'By year'!D$135)</f>
        <v>1</v>
      </c>
      <c r="E150" s="21">
        <f>COUNTIFS(Table2[Indication],'By year'!$A150,Table2[Year],'By year'!E$135)</f>
        <v>0</v>
      </c>
      <c r="F150" s="21">
        <f>COUNTIFS(Table2[Indication],'By year'!$A150,Table2[Year],'By year'!F$135)</f>
        <v>0</v>
      </c>
      <c r="G150" s="21">
        <f>COUNTIFS(Table2[Indication],'By year'!$A150,Table2[Year],'By year'!G$135)</f>
        <v>0</v>
      </c>
      <c r="H150" s="21">
        <f>COUNTIFS(Table2[Indication],'By year'!$A150,Table2[Year],'By year'!H$135)</f>
        <v>0</v>
      </c>
      <c r="I150" s="22">
        <f t="shared" si="5"/>
        <v>1</v>
      </c>
    </row>
    <row r="151" spans="1:9">
      <c r="A151" s="36" t="str">
        <f>GVDs!K10</f>
        <v xml:space="preserve">Chronic Obstructive Pulmonary Disease product </v>
      </c>
      <c r="B151" s="21">
        <f>COUNTIFS(Table2[Indication],'By year'!$A151,Table2[Year],'By year'!B$135)</f>
        <v>0</v>
      </c>
      <c r="C151" s="21">
        <f>COUNTIFS(Table2[Indication],'By year'!$A151,Table2[Year],'By year'!C$135)</f>
        <v>0</v>
      </c>
      <c r="D151" s="21">
        <f>COUNTIFS(Table2[Indication],'By year'!$A151,Table2[Year],'By year'!D$135)</f>
        <v>1</v>
      </c>
      <c r="E151" s="21">
        <f>COUNTIFS(Table2[Indication],'By year'!$A151,Table2[Year],'By year'!E$135)</f>
        <v>0</v>
      </c>
      <c r="F151" s="21">
        <f>COUNTIFS(Table2[Indication],'By year'!$A151,Table2[Year],'By year'!F$135)</f>
        <v>0</v>
      </c>
      <c r="G151" s="21">
        <f>COUNTIFS(Table2[Indication],'By year'!$A151,Table2[Year],'By year'!G$135)</f>
        <v>0</v>
      </c>
      <c r="H151" s="21">
        <f>COUNTIFS(Table2[Indication],'By year'!$A151,Table2[Year],'By year'!H$135)</f>
        <v>0</v>
      </c>
      <c r="I151" s="22">
        <f t="shared" si="5"/>
        <v>1</v>
      </c>
    </row>
    <row r="152" spans="1:9">
      <c r="A152" s="36" t="str">
        <f>GVDs!K24</f>
        <v>COVID-19 infection</v>
      </c>
      <c r="B152" s="21">
        <f>COUNTIFS(Table2[Indication],'By year'!$A152,Table2[Year],'By year'!B$135)</f>
        <v>0</v>
      </c>
      <c r="C152" s="21">
        <f>COUNTIFS(Table2[Indication],'By year'!$A152,Table2[Year],'By year'!C$135)</f>
        <v>0</v>
      </c>
      <c r="D152" s="21">
        <f>COUNTIFS(Table2[Indication],'By year'!$A152,Table2[Year],'By year'!D$135)</f>
        <v>0</v>
      </c>
      <c r="E152" s="21">
        <f>COUNTIFS(Table2[Indication],'By year'!$A152,Table2[Year],'By year'!E$135)</f>
        <v>0</v>
      </c>
      <c r="F152" s="21">
        <f>COUNTIFS(Table2[Indication],'By year'!$A152,Table2[Year],'By year'!F$135)</f>
        <v>0</v>
      </c>
      <c r="G152" s="21">
        <f>COUNTIFS(Table2[Indication],'By year'!$A152,Table2[Year],'By year'!G$135)</f>
        <v>0</v>
      </c>
      <c r="H152" s="21">
        <f>COUNTIFS(Table2[Indication],'By year'!$A152,Table2[Year],'By year'!H$135)</f>
        <v>1</v>
      </c>
      <c r="I152" s="22">
        <f t="shared" si="5"/>
        <v>1</v>
      </c>
    </row>
    <row r="153" spans="1:9">
      <c r="A153" s="36" t="str">
        <f>GVDs!K15</f>
        <v xml:space="preserve">Cutaneous melanoma product </v>
      </c>
      <c r="B153" s="21">
        <f>COUNTIFS(Table2[Indication],'By year'!$A153,Table2[Year],'By year'!B$135)</f>
        <v>0</v>
      </c>
      <c r="C153" s="21">
        <f>COUNTIFS(Table2[Indication],'By year'!$A153,Table2[Year],'By year'!C$135)</f>
        <v>0</v>
      </c>
      <c r="D153" s="21">
        <f>COUNTIFS(Table2[Indication],'By year'!$A153,Table2[Year],'By year'!D$135)</f>
        <v>0</v>
      </c>
      <c r="E153" s="21">
        <f>COUNTIFS(Table2[Indication],'By year'!$A153,Table2[Year],'By year'!E$135)</f>
        <v>1</v>
      </c>
      <c r="F153" s="21">
        <f>COUNTIFS(Table2[Indication],'By year'!$A153,Table2[Year],'By year'!F$135)</f>
        <v>0</v>
      </c>
      <c r="G153" s="21">
        <f>COUNTIFS(Table2[Indication],'By year'!$A153,Table2[Year],'By year'!G$135)</f>
        <v>0</v>
      </c>
      <c r="H153" s="21">
        <f>COUNTIFS(Table2[Indication],'By year'!$A153,Table2[Year],'By year'!H$135)</f>
        <v>0</v>
      </c>
      <c r="I153" s="22">
        <f t="shared" si="5"/>
        <v>1</v>
      </c>
    </row>
    <row r="154" spans="1:9">
      <c r="A154" s="36" t="str">
        <f>GVDs!K11</f>
        <v xml:space="preserve">Diabetic peripheral neuropathy/post-herpetic neuralgia product </v>
      </c>
      <c r="B154" s="21">
        <f>COUNTIFS(Table2[Indication],'By year'!$A154,Table2[Year],'By year'!B$135)</f>
        <v>0</v>
      </c>
      <c r="C154" s="21">
        <f>COUNTIFS(Table2[Indication],'By year'!$A154,Table2[Year],'By year'!C$135)</f>
        <v>0</v>
      </c>
      <c r="D154" s="21">
        <f>COUNTIFS(Table2[Indication],'By year'!$A154,Table2[Year],'By year'!D$135)</f>
        <v>0</v>
      </c>
      <c r="E154" s="21">
        <f>COUNTIFS(Table2[Indication],'By year'!$A154,Table2[Year],'By year'!E$135)</f>
        <v>1</v>
      </c>
      <c r="F154" s="21">
        <f>COUNTIFS(Table2[Indication],'By year'!$A154,Table2[Year],'By year'!F$135)</f>
        <v>0</v>
      </c>
      <c r="G154" s="21">
        <f>COUNTIFS(Table2[Indication],'By year'!$A154,Table2[Year],'By year'!G$135)</f>
        <v>0</v>
      </c>
      <c r="H154" s="21">
        <f>COUNTIFS(Table2[Indication],'By year'!$A154,Table2[Year],'By year'!H$135)</f>
        <v>0</v>
      </c>
      <c r="I154" s="22">
        <f t="shared" si="5"/>
        <v>1</v>
      </c>
    </row>
    <row r="155" spans="1:9">
      <c r="A155" s="36" t="str">
        <f>GVDs!K13</f>
        <v xml:space="preserve">Digital treatment program for depression </v>
      </c>
      <c r="B155" s="21">
        <f>COUNTIFS(Table2[Indication],'By year'!$A155,Table2[Year],'By year'!B$135)</f>
        <v>0</v>
      </c>
      <c r="C155" s="21">
        <f>COUNTIFS(Table2[Indication],'By year'!$A155,Table2[Year],'By year'!C$135)</f>
        <v>0</v>
      </c>
      <c r="D155" s="21">
        <f>COUNTIFS(Table2[Indication],'By year'!$A155,Table2[Year],'By year'!D$135)</f>
        <v>0</v>
      </c>
      <c r="E155" s="21">
        <f>COUNTIFS(Table2[Indication],'By year'!$A155,Table2[Year],'By year'!E$135)</f>
        <v>1</v>
      </c>
      <c r="F155" s="21">
        <f>COUNTIFS(Table2[Indication],'By year'!$A155,Table2[Year],'By year'!F$135)</f>
        <v>0</v>
      </c>
      <c r="G155" s="21">
        <f>COUNTIFS(Table2[Indication],'By year'!$A155,Table2[Year],'By year'!G$135)</f>
        <v>0</v>
      </c>
      <c r="H155" s="21">
        <f>COUNTIFS(Table2[Indication],'By year'!$A155,Table2[Year],'By year'!H$135)</f>
        <v>0</v>
      </c>
      <c r="I155" s="22">
        <f t="shared" si="5"/>
        <v>1</v>
      </c>
    </row>
    <row r="156" spans="1:9">
      <c r="A156" s="36" t="str">
        <f>GVDs!K6</f>
        <v>DPP-4 / SGLT-2 combination product in T2DM (update)</v>
      </c>
      <c r="B156" s="21">
        <f>COUNTIFS(Table2[Indication],'By year'!$A156,Table2[Year],'By year'!B$135)</f>
        <v>0</v>
      </c>
      <c r="C156" s="21">
        <f>COUNTIFS(Table2[Indication],'By year'!$A156,Table2[Year],'By year'!C$135)</f>
        <v>1</v>
      </c>
      <c r="D156" s="21">
        <f>COUNTIFS(Table2[Indication],'By year'!$A156,Table2[Year],'By year'!D$135)</f>
        <v>0</v>
      </c>
      <c r="E156" s="21">
        <f>COUNTIFS(Table2[Indication],'By year'!$A156,Table2[Year],'By year'!E$135)</f>
        <v>0</v>
      </c>
      <c r="F156" s="21">
        <f>COUNTIFS(Table2[Indication],'By year'!$A156,Table2[Year],'By year'!F$135)</f>
        <v>0</v>
      </c>
      <c r="G156" s="21">
        <f>COUNTIFS(Table2[Indication],'By year'!$A156,Table2[Year],'By year'!G$135)</f>
        <v>0</v>
      </c>
      <c r="H156" s="21">
        <f>COUNTIFS(Table2[Indication],'By year'!$A156,Table2[Year],'By year'!H$135)</f>
        <v>0</v>
      </c>
      <c r="I156" s="22">
        <f t="shared" si="5"/>
        <v>1</v>
      </c>
    </row>
    <row r="157" spans="1:9">
      <c r="A157" s="36" t="str">
        <f>GVDs!K17</f>
        <v>Epilepsy product (update)</v>
      </c>
      <c r="B157" s="21">
        <f>COUNTIFS(Table2[Indication],'By year'!$A157,Table2[Year],'By year'!B$135)</f>
        <v>0</v>
      </c>
      <c r="C157" s="21">
        <f>COUNTIFS(Table2[Indication],'By year'!$A157,Table2[Year],'By year'!C$135)</f>
        <v>0</v>
      </c>
      <c r="D157" s="21">
        <f>COUNTIFS(Table2[Indication],'By year'!$A157,Table2[Year],'By year'!D$135)</f>
        <v>0</v>
      </c>
      <c r="E157" s="21">
        <f>COUNTIFS(Table2[Indication],'By year'!$A157,Table2[Year],'By year'!E$135)</f>
        <v>0</v>
      </c>
      <c r="F157" s="21">
        <f>COUNTIFS(Table2[Indication],'By year'!$A157,Table2[Year],'By year'!F$135)</f>
        <v>1</v>
      </c>
      <c r="G157" s="21">
        <f>COUNTIFS(Table2[Indication],'By year'!$A157,Table2[Year],'By year'!G$135)</f>
        <v>0</v>
      </c>
      <c r="H157" s="21">
        <f>COUNTIFS(Table2[Indication],'By year'!$A157,Table2[Year],'By year'!H$135)</f>
        <v>0</v>
      </c>
      <c r="I157" s="22">
        <f t="shared" si="5"/>
        <v>1</v>
      </c>
    </row>
    <row r="158" spans="1:9">
      <c r="A158" s="36" t="str">
        <f>GVDs!K14</f>
        <v xml:space="preserve">GLP-1 agonist product in T2DM </v>
      </c>
      <c r="B158" s="21">
        <f>COUNTIFS(Table2[Indication],'By year'!$A158,Table2[Year],'By year'!B$135)</f>
        <v>0</v>
      </c>
      <c r="C158" s="21">
        <f>COUNTIFS(Table2[Indication],'By year'!$A158,Table2[Year],'By year'!C$135)</f>
        <v>0</v>
      </c>
      <c r="D158" s="21">
        <f>COUNTIFS(Table2[Indication],'By year'!$A158,Table2[Year],'By year'!D$135)</f>
        <v>0</v>
      </c>
      <c r="E158" s="21">
        <f>COUNTIFS(Table2[Indication],'By year'!$A158,Table2[Year],'By year'!E$135)</f>
        <v>1</v>
      </c>
      <c r="F158" s="21">
        <f>COUNTIFS(Table2[Indication],'By year'!$A158,Table2[Year],'By year'!F$135)</f>
        <v>0</v>
      </c>
      <c r="G158" s="21">
        <f>COUNTIFS(Table2[Indication],'By year'!$A158,Table2[Year],'By year'!G$135)</f>
        <v>0</v>
      </c>
      <c r="H158" s="21">
        <f>COUNTIFS(Table2[Indication],'By year'!$A158,Table2[Year],'By year'!H$135)</f>
        <v>0</v>
      </c>
      <c r="I158" s="22">
        <f t="shared" si="5"/>
        <v>1</v>
      </c>
    </row>
    <row r="159" spans="1:9">
      <c r="A159" s="36" t="str">
        <f>GVDs!K19</f>
        <v>Hepatocellular cell carcinoma/renal cell carcinoma product</v>
      </c>
      <c r="B159" s="21">
        <f>COUNTIFS(Table2[Indication],'By year'!$A159,Table2[Year],'By year'!B$135)</f>
        <v>0</v>
      </c>
      <c r="C159" s="21">
        <f>COUNTIFS(Table2[Indication],'By year'!$A159,Table2[Year],'By year'!C$135)</f>
        <v>0</v>
      </c>
      <c r="D159" s="21">
        <f>COUNTIFS(Table2[Indication],'By year'!$A159,Table2[Year],'By year'!D$135)</f>
        <v>0</v>
      </c>
      <c r="E159" s="21">
        <f>COUNTIFS(Table2[Indication],'By year'!$A159,Table2[Year],'By year'!E$135)</f>
        <v>0</v>
      </c>
      <c r="F159" s="21">
        <f>COUNTIFS(Table2[Indication],'By year'!$A159,Table2[Year],'By year'!F$135)</f>
        <v>1</v>
      </c>
      <c r="G159" s="21">
        <f>COUNTIFS(Table2[Indication],'By year'!$A159,Table2[Year],'By year'!G$135)</f>
        <v>0</v>
      </c>
      <c r="H159" s="21">
        <f>COUNTIFS(Table2[Indication],'By year'!$A159,Table2[Year],'By year'!H$135)</f>
        <v>0</v>
      </c>
      <c r="I159" s="22">
        <f t="shared" si="5"/>
        <v>1</v>
      </c>
    </row>
    <row r="160" spans="1:9">
      <c r="A160" s="36" t="str">
        <f>GVDs!K18</f>
        <v xml:space="preserve">HIV product </v>
      </c>
      <c r="B160" s="21">
        <f>COUNTIFS(Table2[Indication],'By year'!$A160,Table2[Year],'By year'!B$135)</f>
        <v>0</v>
      </c>
      <c r="C160" s="21">
        <f>COUNTIFS(Table2[Indication],'By year'!$A160,Table2[Year],'By year'!C$135)</f>
        <v>0</v>
      </c>
      <c r="D160" s="21">
        <f>COUNTIFS(Table2[Indication],'By year'!$A160,Table2[Year],'By year'!D$135)</f>
        <v>0</v>
      </c>
      <c r="E160" s="21">
        <f>COUNTIFS(Table2[Indication],'By year'!$A160,Table2[Year],'By year'!E$135)</f>
        <v>0</v>
      </c>
      <c r="F160" s="21">
        <f>COUNTIFS(Table2[Indication],'By year'!$A160,Table2[Year],'By year'!F$135)</f>
        <v>1</v>
      </c>
      <c r="G160" s="21">
        <f>COUNTIFS(Table2[Indication],'By year'!$A160,Table2[Year],'By year'!G$135)</f>
        <v>0</v>
      </c>
      <c r="H160" s="21">
        <f>COUNTIFS(Table2[Indication],'By year'!$A160,Table2[Year],'By year'!H$135)</f>
        <v>0</v>
      </c>
      <c r="I160" s="22">
        <f t="shared" si="5"/>
        <v>1</v>
      </c>
    </row>
    <row r="161" spans="1:9">
      <c r="A161" s="36" t="str">
        <f>GVDs!K5</f>
        <v xml:space="preserve">Hyperkalemia product </v>
      </c>
      <c r="B161" s="21">
        <f>COUNTIFS(Table2[Indication],'By year'!$A161,Table2[Year],'By year'!B$135)</f>
        <v>0</v>
      </c>
      <c r="C161" s="21">
        <f>COUNTIFS(Table2[Indication],'By year'!$A161,Table2[Year],'By year'!C$135)</f>
        <v>1</v>
      </c>
      <c r="D161" s="21">
        <f>COUNTIFS(Table2[Indication],'By year'!$A161,Table2[Year],'By year'!D$135)</f>
        <v>0</v>
      </c>
      <c r="E161" s="21">
        <f>COUNTIFS(Table2[Indication],'By year'!$A161,Table2[Year],'By year'!E$135)</f>
        <v>0</v>
      </c>
      <c r="F161" s="21">
        <f>COUNTIFS(Table2[Indication],'By year'!$A161,Table2[Year],'By year'!F$135)</f>
        <v>0</v>
      </c>
      <c r="G161" s="21">
        <f>COUNTIFS(Table2[Indication],'By year'!$A161,Table2[Year],'By year'!G$135)</f>
        <v>0</v>
      </c>
      <c r="H161" s="21">
        <f>COUNTIFS(Table2[Indication],'By year'!$A161,Table2[Year],'By year'!H$135)</f>
        <v>0</v>
      </c>
      <c r="I161" s="22">
        <f t="shared" si="5"/>
        <v>1</v>
      </c>
    </row>
    <row r="162" spans="1:9">
      <c r="A162" s="36" t="str">
        <f>GVDs!K3</f>
        <v xml:space="preserve">Mantle Cell Lymphoma product </v>
      </c>
      <c r="B162" s="21">
        <f>COUNTIFS(Table2[Indication],'By year'!$A162,Table2[Year],'By year'!B$135)</f>
        <v>1</v>
      </c>
      <c r="C162" s="21">
        <f>COUNTIFS(Table2[Indication],'By year'!$A162,Table2[Year],'By year'!C$135)</f>
        <v>0</v>
      </c>
      <c r="D162" s="21">
        <f>COUNTIFS(Table2[Indication],'By year'!$A162,Table2[Year],'By year'!D$135)</f>
        <v>0</v>
      </c>
      <c r="E162" s="21">
        <f>COUNTIFS(Table2[Indication],'By year'!$A162,Table2[Year],'By year'!E$135)</f>
        <v>0</v>
      </c>
      <c r="F162" s="21">
        <f>COUNTIFS(Table2[Indication],'By year'!$A162,Table2[Year],'By year'!F$135)</f>
        <v>0</v>
      </c>
      <c r="G162" s="21">
        <f>COUNTIFS(Table2[Indication],'By year'!$A162,Table2[Year],'By year'!G$135)</f>
        <v>0</v>
      </c>
      <c r="H162" s="21">
        <f>COUNTIFS(Table2[Indication],'By year'!$A162,Table2[Year],'By year'!H$135)</f>
        <v>0</v>
      </c>
      <c r="I162" s="22">
        <f t="shared" si="5"/>
        <v>1</v>
      </c>
    </row>
    <row r="163" spans="1:9">
      <c r="A163" s="36" t="str">
        <f>GVDs!K7</f>
        <v>Melanoma</v>
      </c>
      <c r="B163" s="21">
        <f>COUNTIFS(Table2[Indication],'By year'!$A163,Table2[Year],'By year'!B$135)</f>
        <v>0</v>
      </c>
      <c r="C163" s="21">
        <f>COUNTIFS(Table2[Indication],'By year'!$A163,Table2[Year],'By year'!C$135)</f>
        <v>0</v>
      </c>
      <c r="D163" s="21">
        <f>COUNTIFS(Table2[Indication],'By year'!$A163,Table2[Year],'By year'!D$135)</f>
        <v>1</v>
      </c>
      <c r="E163" s="21">
        <f>COUNTIFS(Table2[Indication],'By year'!$A163,Table2[Year],'By year'!E$135)</f>
        <v>0</v>
      </c>
      <c r="F163" s="21">
        <f>COUNTIFS(Table2[Indication],'By year'!$A163,Table2[Year],'By year'!F$135)</f>
        <v>0</v>
      </c>
      <c r="G163" s="21">
        <f>COUNTIFS(Table2[Indication],'By year'!$A163,Table2[Year],'By year'!G$135)</f>
        <v>0</v>
      </c>
      <c r="H163" s="21">
        <f>COUNTIFS(Table2[Indication],'By year'!$A163,Table2[Year],'By year'!H$135)</f>
        <v>0</v>
      </c>
      <c r="I163" s="22">
        <f t="shared" si="5"/>
        <v>1</v>
      </c>
    </row>
    <row r="164" spans="1:9">
      <c r="A164" s="36" t="str">
        <f>GVDs!K8</f>
        <v>Metastatic colorectal cancer product</v>
      </c>
      <c r="B164" s="21">
        <f>COUNTIFS(Table2[Indication],'By year'!$A164,Table2[Year],'By year'!B$135)</f>
        <v>0</v>
      </c>
      <c r="C164" s="21">
        <f>COUNTIFS(Table2[Indication],'By year'!$A164,Table2[Year],'By year'!C$135)</f>
        <v>0</v>
      </c>
      <c r="D164" s="21">
        <f>COUNTIFS(Table2[Indication],'By year'!$A164,Table2[Year],'By year'!D$135)</f>
        <v>1</v>
      </c>
      <c r="E164" s="21">
        <f>COUNTIFS(Table2[Indication],'By year'!$A164,Table2[Year],'By year'!E$135)</f>
        <v>0</v>
      </c>
      <c r="F164" s="21">
        <f>COUNTIFS(Table2[Indication],'By year'!$A164,Table2[Year],'By year'!F$135)</f>
        <v>0</v>
      </c>
      <c r="G164" s="21">
        <f>COUNTIFS(Table2[Indication],'By year'!$A164,Table2[Year],'By year'!G$135)</f>
        <v>0</v>
      </c>
      <c r="H164" s="21">
        <f>COUNTIFS(Table2[Indication],'By year'!$A164,Table2[Year],'By year'!H$135)</f>
        <v>0</v>
      </c>
      <c r="I164" s="22">
        <f t="shared" si="5"/>
        <v>1</v>
      </c>
    </row>
    <row r="165" spans="1:9">
      <c r="A165" s="36" t="str">
        <f>GVDs!K20</f>
        <v>Non Hodgkin Lymphoma</v>
      </c>
      <c r="B165" s="21">
        <f>COUNTIFS(Table2[Indication],'By year'!$A165,Table2[Year],'By year'!B$135)</f>
        <v>0</v>
      </c>
      <c r="C165" s="21">
        <f>COUNTIFS(Table2[Indication],'By year'!$A165,Table2[Year],'By year'!C$135)</f>
        <v>0</v>
      </c>
      <c r="D165" s="21">
        <f>COUNTIFS(Table2[Indication],'By year'!$A165,Table2[Year],'By year'!D$135)</f>
        <v>0</v>
      </c>
      <c r="E165" s="21">
        <f>COUNTIFS(Table2[Indication],'By year'!$A165,Table2[Year],'By year'!E$135)</f>
        <v>0</v>
      </c>
      <c r="F165" s="21">
        <f>COUNTIFS(Table2[Indication],'By year'!$A165,Table2[Year],'By year'!F$135)</f>
        <v>0</v>
      </c>
      <c r="G165" s="21">
        <f>COUNTIFS(Table2[Indication],'By year'!$A165,Table2[Year],'By year'!G$135)</f>
        <v>1</v>
      </c>
      <c r="H165" s="21">
        <f>COUNTIFS(Table2[Indication],'By year'!$A165,Table2[Year],'By year'!H$135)</f>
        <v>0</v>
      </c>
      <c r="I165" s="22">
        <f t="shared" si="5"/>
        <v>1</v>
      </c>
    </row>
    <row r="166" spans="1:9">
      <c r="A166" s="36" t="str">
        <f>GVDs!K16</f>
        <v xml:space="preserve">Non-small cell lung cancer IO product </v>
      </c>
      <c r="B166" s="21">
        <f>COUNTIFS(Table2[Indication],'By year'!$A166,Table2[Year],'By year'!B$135)</f>
        <v>0</v>
      </c>
      <c r="C166" s="21">
        <f>COUNTIFS(Table2[Indication],'By year'!$A166,Table2[Year],'By year'!C$135)</f>
        <v>0</v>
      </c>
      <c r="D166" s="21">
        <f>COUNTIFS(Table2[Indication],'By year'!$A166,Table2[Year],'By year'!D$135)</f>
        <v>0</v>
      </c>
      <c r="E166" s="21">
        <f>COUNTIFS(Table2[Indication],'By year'!$A166,Table2[Year],'By year'!E$135)</f>
        <v>1</v>
      </c>
      <c r="F166" s="21">
        <f>COUNTIFS(Table2[Indication],'By year'!$A166,Table2[Year],'By year'!F$135)</f>
        <v>0</v>
      </c>
      <c r="G166" s="21">
        <f>COUNTIFS(Table2[Indication],'By year'!$A166,Table2[Year],'By year'!G$135)</f>
        <v>0</v>
      </c>
      <c r="H166" s="21">
        <f>COUNTIFS(Table2[Indication],'By year'!$A166,Table2[Year],'By year'!H$135)</f>
        <v>0</v>
      </c>
      <c r="I166" s="22">
        <f t="shared" si="5"/>
        <v>1</v>
      </c>
    </row>
    <row r="167" spans="1:9">
      <c r="A167" s="36" t="str">
        <f>GVDs!K12</f>
        <v xml:space="preserve">Pseudomonas aeruginosa anti-infective product </v>
      </c>
      <c r="B167" s="21">
        <f>COUNTIFS(Table2[Indication],'By year'!$A167,Table2[Year],'By year'!B$135)</f>
        <v>0</v>
      </c>
      <c r="C167" s="21">
        <f>COUNTIFS(Table2[Indication],'By year'!$A167,Table2[Year],'By year'!C$135)</f>
        <v>0</v>
      </c>
      <c r="D167" s="21">
        <f>COUNTIFS(Table2[Indication],'By year'!$A167,Table2[Year],'By year'!D$135)</f>
        <v>0</v>
      </c>
      <c r="E167" s="21">
        <f>COUNTIFS(Table2[Indication],'By year'!$A167,Table2[Year],'By year'!E$135)</f>
        <v>1</v>
      </c>
      <c r="F167" s="21">
        <f>COUNTIFS(Table2[Indication],'By year'!$A167,Table2[Year],'By year'!F$135)</f>
        <v>0</v>
      </c>
      <c r="G167" s="21">
        <f>COUNTIFS(Table2[Indication],'By year'!$A167,Table2[Year],'By year'!G$135)</f>
        <v>0</v>
      </c>
      <c r="H167" s="21">
        <f>COUNTIFS(Table2[Indication],'By year'!$A167,Table2[Year],'By year'!H$135)</f>
        <v>0</v>
      </c>
      <c r="I167" s="22">
        <f t="shared" si="5"/>
        <v>1</v>
      </c>
    </row>
    <row r="168" spans="1:9">
      <c r="A168" s="36" t="str">
        <f>GVDs!K21</f>
        <v xml:space="preserve">Relapsed/refractory AML product </v>
      </c>
      <c r="B168" s="21">
        <f>COUNTIFS(Table2[Indication],'By year'!$A168,Table2[Year],'By year'!B$135)</f>
        <v>0</v>
      </c>
      <c r="C168" s="21">
        <f>COUNTIFS(Table2[Indication],'By year'!$A168,Table2[Year],'By year'!C$135)</f>
        <v>0</v>
      </c>
      <c r="D168" s="21">
        <f>COUNTIFS(Table2[Indication],'By year'!$A168,Table2[Year],'By year'!D$135)</f>
        <v>0</v>
      </c>
      <c r="E168" s="21">
        <f>COUNTIFS(Table2[Indication],'By year'!$A168,Table2[Year],'By year'!E$135)</f>
        <v>0</v>
      </c>
      <c r="F168" s="21">
        <f>COUNTIFS(Table2[Indication],'By year'!$A168,Table2[Year],'By year'!F$135)</f>
        <v>0</v>
      </c>
      <c r="G168" s="21">
        <f>COUNTIFS(Table2[Indication],'By year'!$A168,Table2[Year],'By year'!G$135)</f>
        <v>1</v>
      </c>
      <c r="H168" s="21">
        <f>COUNTIFS(Table2[Indication],'By year'!$A168,Table2[Year],'By year'!H$135)</f>
        <v>0</v>
      </c>
      <c r="I168" s="22">
        <f t="shared" si="5"/>
        <v>1</v>
      </c>
    </row>
    <row r="169" spans="1:9">
      <c r="A169" s="36" t="str">
        <f>GVDs!K22</f>
        <v>Unresectable malignant pleural mesothelioma</v>
      </c>
      <c r="B169" s="21">
        <f>COUNTIFS(Table2[Indication],'By year'!$A169,Table2[Year],'By year'!B$135)</f>
        <v>0</v>
      </c>
      <c r="C169" s="21">
        <f>COUNTIFS(Table2[Indication],'By year'!$A169,Table2[Year],'By year'!C$135)</f>
        <v>0</v>
      </c>
      <c r="D169" s="21">
        <f>COUNTIFS(Table2[Indication],'By year'!$A169,Table2[Year],'By year'!D$135)</f>
        <v>0</v>
      </c>
      <c r="E169" s="21">
        <f>COUNTIFS(Table2[Indication],'By year'!$A169,Table2[Year],'By year'!E$135)</f>
        <v>0</v>
      </c>
      <c r="F169" s="21">
        <f>COUNTIFS(Table2[Indication],'By year'!$A169,Table2[Year],'By year'!F$135)</f>
        <v>0</v>
      </c>
      <c r="G169" s="21">
        <f>COUNTIFS(Table2[Indication],'By year'!$A169,Table2[Year],'By year'!G$135)</f>
        <v>1</v>
      </c>
      <c r="H169" s="21">
        <f>COUNTIFS(Table2[Indication],'By year'!$A169,Table2[Year],'By year'!H$135)</f>
        <v>0</v>
      </c>
      <c r="I169" s="22">
        <f t="shared" si="5"/>
        <v>1</v>
      </c>
    </row>
    <row r="170" spans="1:9">
      <c r="A170" s="36" t="str">
        <f>GVDs!K23</f>
        <v>von Willebrand disease (an inherited bleeding disorder)</v>
      </c>
      <c r="B170" s="21">
        <f>COUNTIFS(Table2[Indication],'By year'!$A170,Table2[Year],'By year'!B$135)</f>
        <v>0</v>
      </c>
      <c r="C170" s="21">
        <f>COUNTIFS(Table2[Indication],'By year'!$A170,Table2[Year],'By year'!C$135)</f>
        <v>0</v>
      </c>
      <c r="D170" s="21">
        <f>COUNTIFS(Table2[Indication],'By year'!$A170,Table2[Year],'By year'!D$135)</f>
        <v>0</v>
      </c>
      <c r="E170" s="21">
        <f>COUNTIFS(Table2[Indication],'By year'!$A170,Table2[Year],'By year'!E$135)</f>
        <v>0</v>
      </c>
      <c r="F170" s="21">
        <f>COUNTIFS(Table2[Indication],'By year'!$A170,Table2[Year],'By year'!F$135)</f>
        <v>0</v>
      </c>
      <c r="G170" s="21">
        <f>COUNTIFS(Table2[Indication],'By year'!$A170,Table2[Year],'By year'!G$135)</f>
        <v>0</v>
      </c>
      <c r="H170" s="21">
        <f>COUNTIFS(Table2[Indication],'By year'!$A170,Table2[Year],'By year'!H$135)</f>
        <v>1</v>
      </c>
      <c r="I170" s="22">
        <f t="shared" si="5"/>
        <v>1</v>
      </c>
    </row>
    <row r="171" spans="1:9">
      <c r="A171" s="68" t="s">
        <v>697</v>
      </c>
      <c r="B171" s="69">
        <f>SUBTOTAL(109,B136:B170)</f>
        <v>3</v>
      </c>
      <c r="C171" s="69">
        <f t="shared" ref="C171:H171" si="6">SUBTOTAL(109,C136:C170)</f>
        <v>2</v>
      </c>
      <c r="D171" s="69">
        <f t="shared" si="6"/>
        <v>4</v>
      </c>
      <c r="E171" s="69">
        <f t="shared" si="6"/>
        <v>6</v>
      </c>
      <c r="F171" s="69">
        <f t="shared" si="6"/>
        <v>3</v>
      </c>
      <c r="G171" s="69">
        <f t="shared" si="6"/>
        <v>3</v>
      </c>
      <c r="H171" s="69">
        <f t="shared" si="6"/>
        <v>3</v>
      </c>
      <c r="I171" s="69">
        <f>SUBTOTAL(109,Table7[Total])</f>
        <v>24</v>
      </c>
    </row>
  </sheetData>
  <pageMargins left="0.7" right="0.7" top="0.75" bottom="0.75" header="0.3" footer="0.3"/>
  <pageSetup orientation="portrait" r:id="rId1"/>
  <drawing r:id="rId2"/>
  <tableParts count="4">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FB8DE-6A9E-423C-8EE2-3FD91C8EB3E8}">
  <sheetPr>
    <tabColor theme="9"/>
  </sheetPr>
  <dimension ref="A1:R209"/>
  <sheetViews>
    <sheetView zoomScale="70" zoomScaleNormal="70" workbookViewId="0">
      <selection activeCell="N51" sqref="N51"/>
    </sheetView>
  </sheetViews>
  <sheetFormatPr defaultRowHeight="14.4"/>
  <cols>
    <col min="1" max="1" width="43.21875" bestFit="1" customWidth="1"/>
    <col min="2" max="8" width="12.77734375" bestFit="1" customWidth="1"/>
    <col min="9" max="10" width="18.21875" bestFit="1" customWidth="1"/>
    <col min="11" max="11" width="13.44140625" customWidth="1"/>
    <col min="12" max="12" width="22.77734375" customWidth="1"/>
    <col min="13" max="13" width="24" customWidth="1"/>
    <col min="14" max="14" width="29" customWidth="1"/>
    <col min="15" max="17" width="12.77734375" bestFit="1" customWidth="1"/>
    <col min="18" max="18" width="18.21875" bestFit="1" customWidth="1"/>
    <col min="24" max="24" width="13.21875" customWidth="1"/>
    <col min="27" max="27" width="13.21875" customWidth="1"/>
  </cols>
  <sheetData>
    <row r="1" spans="1:18" ht="25.8">
      <c r="A1" s="27" t="s">
        <v>695</v>
      </c>
      <c r="B1" s="27"/>
      <c r="C1" s="27"/>
      <c r="D1" s="27"/>
      <c r="E1" s="27"/>
      <c r="F1" s="27"/>
      <c r="G1" s="27"/>
      <c r="H1" s="27"/>
      <c r="I1" s="27"/>
      <c r="J1" s="27"/>
      <c r="K1" s="27"/>
      <c r="L1" s="27"/>
      <c r="M1" s="27"/>
      <c r="N1" s="27"/>
      <c r="O1" s="27"/>
      <c r="P1" s="27"/>
      <c r="Q1" s="27"/>
      <c r="R1" s="27"/>
    </row>
    <row r="3" spans="1:18">
      <c r="A3" s="79" t="s">
        <v>703</v>
      </c>
      <c r="B3" s="80"/>
      <c r="C3" s="80"/>
      <c r="D3" s="80"/>
      <c r="E3" s="80"/>
      <c r="F3" s="80"/>
      <c r="G3" s="80"/>
      <c r="H3" s="80"/>
      <c r="I3" s="80"/>
      <c r="J3" s="80"/>
      <c r="K3" s="80"/>
      <c r="L3" s="80"/>
      <c r="M3" s="80"/>
      <c r="N3" s="80"/>
      <c r="O3" s="80"/>
      <c r="P3" s="80"/>
      <c r="Q3" s="80"/>
      <c r="R3" s="80"/>
    </row>
    <row r="4" spans="1:18">
      <c r="A4" s="76" t="s">
        <v>3</v>
      </c>
      <c r="B4" s="77" t="s">
        <v>11</v>
      </c>
      <c r="C4" s="77" t="s">
        <v>119</v>
      </c>
      <c r="D4" s="77" t="s">
        <v>152</v>
      </c>
      <c r="E4" s="77" t="s">
        <v>161</v>
      </c>
      <c r="F4" s="77" t="s">
        <v>187</v>
      </c>
      <c r="G4" s="77" t="s">
        <v>120</v>
      </c>
      <c r="H4" s="77" t="s">
        <v>401</v>
      </c>
      <c r="I4" s="77" t="s">
        <v>491</v>
      </c>
      <c r="J4" s="77" t="s">
        <v>496</v>
      </c>
      <c r="K4" s="77" t="s">
        <v>508</v>
      </c>
      <c r="L4" s="77" t="s">
        <v>520</v>
      </c>
      <c r="M4" s="77" t="s">
        <v>587</v>
      </c>
      <c r="N4" s="77" t="s">
        <v>596</v>
      </c>
      <c r="O4" s="77" t="s">
        <v>633</v>
      </c>
      <c r="P4" s="77" t="s">
        <v>636</v>
      </c>
      <c r="Q4" s="78" t="s">
        <v>697</v>
      </c>
      <c r="R4" s="78" t="s">
        <v>700</v>
      </c>
    </row>
    <row r="5" spans="1:18">
      <c r="A5" s="73" t="str">
        <f>'Local HTA submissions'!AD2</f>
        <v>Oncology</v>
      </c>
      <c r="B5" s="70">
        <f>COUNTIFS('Local HTA submissions'!$E:$E,'By therapy area'!$A5,'Local HTA submissions'!$C:$C,'By therapy area'!B$4)</f>
        <v>20</v>
      </c>
      <c r="C5" s="70">
        <f>COUNTIFS('Local HTA submissions'!$E:$E,'By therapy area'!$A5,'Local HTA submissions'!$C:$C,'By therapy area'!C$4)</f>
        <v>10</v>
      </c>
      <c r="D5" s="70">
        <f>COUNTIFS('Local HTA submissions'!$E:$E,'By therapy area'!$A5,'Local HTA submissions'!$C:$C,'By therapy area'!D$4)</f>
        <v>1</v>
      </c>
      <c r="E5" s="70">
        <f>COUNTIFS('Local HTA submissions'!$E:$E,'By therapy area'!$A5,'Local HTA submissions'!$C:$C,'By therapy area'!E$4)</f>
        <v>6</v>
      </c>
      <c r="F5" s="70">
        <f>COUNTIFS('Local HTA submissions'!$E:$E,'By therapy area'!$A5,'Local HTA submissions'!$C:$C,'By therapy area'!F$4)</f>
        <v>39</v>
      </c>
      <c r="G5" s="70">
        <f>COUNTIFS('Local HTA submissions'!$E:$E,'By therapy area'!$A5,'Local HTA submissions'!$C:$C,'By therapy area'!G$4)</f>
        <v>7</v>
      </c>
      <c r="H5" s="70">
        <f>COUNTIFS('Local HTA submissions'!$E:$E,'By therapy area'!$A5,'Local HTA submissions'!$C:$C,'By therapy area'!H$4)</f>
        <v>21</v>
      </c>
      <c r="I5" s="70">
        <f>COUNTIFS('Local HTA submissions'!$E:$E,'By therapy area'!$A5,'Local HTA submissions'!$C:$C,'By therapy area'!I$4)</f>
        <v>26</v>
      </c>
      <c r="J5" s="70">
        <f>COUNTIFS('Local HTA submissions'!$E:$E,'By therapy area'!$A5,'Local HTA submissions'!$C:$C,'By therapy area'!J$4)</f>
        <v>29</v>
      </c>
      <c r="K5" s="70">
        <f>COUNTIFS('Local HTA submissions'!$E:$E,'By therapy area'!$A5,'Local HTA submissions'!$C:$C,'By therapy area'!K$4)</f>
        <v>4</v>
      </c>
      <c r="L5" s="70">
        <f>COUNTIFS('Local HTA submissions'!$E:$E,'By therapy area'!$A5,'Local HTA submissions'!$C:$C,'By therapy area'!L$4)</f>
        <v>4</v>
      </c>
      <c r="M5" s="70">
        <f>COUNTIFS('Local HTA submissions'!$E:$E,'By therapy area'!$A5,'Local HTA submissions'!$C:$C,'By therapy area'!M$4)</f>
        <v>3</v>
      </c>
      <c r="N5" s="70">
        <f>COUNTIFS('Local HTA submissions'!$E:$E,'By therapy area'!$A5,'Local HTA submissions'!$C:$C,'By therapy area'!N$4)</f>
        <v>2</v>
      </c>
      <c r="O5" s="70">
        <f>COUNTIFS('Local HTA submissions'!$E:$E,'By therapy area'!$A5,'Local HTA submissions'!$C:$C,'By therapy area'!O$4)</f>
        <v>1</v>
      </c>
      <c r="P5" s="70">
        <f>COUNTIFS('Local HTA submissions'!$E:$E,'By therapy area'!$A5,'Local HTA submissions'!$C:$C,'By therapy area'!P$4)</f>
        <v>1</v>
      </c>
      <c r="Q5" s="70">
        <f t="shared" ref="Q5:Q37" si="0">SUM(B5:P5)</f>
        <v>174</v>
      </c>
      <c r="R5" s="75">
        <f>Q5/$Q$38</f>
        <v>0.31693989071038253</v>
      </c>
    </row>
    <row r="6" spans="1:18">
      <c r="A6" s="73" t="str">
        <f>'Local HTA submissions'!AD3</f>
        <v>Blood and immune system</v>
      </c>
      <c r="B6" s="71">
        <f>COUNTIFS('Local HTA submissions'!$E:$E,'By therapy area'!$A6,'Local HTA submissions'!$C:$C,'By therapy area'!B$4)</f>
        <v>1</v>
      </c>
      <c r="C6" s="71">
        <f>COUNTIFS('Local HTA submissions'!$E:$E,'By therapy area'!$A6,'Local HTA submissions'!$C:$C,'By therapy area'!C$4)</f>
        <v>1</v>
      </c>
      <c r="D6" s="71">
        <f>COUNTIFS('Local HTA submissions'!$E:$E,'By therapy area'!$A6,'Local HTA submissions'!$C:$C,'By therapy area'!D$4)</f>
        <v>0</v>
      </c>
      <c r="E6" s="71">
        <f>COUNTIFS('Local HTA submissions'!$E:$E,'By therapy area'!$A6,'Local HTA submissions'!$C:$C,'By therapy area'!E$4)</f>
        <v>1</v>
      </c>
      <c r="F6" s="71">
        <f>COUNTIFS('Local HTA submissions'!$E:$E,'By therapy area'!$A6,'Local HTA submissions'!$C:$C,'By therapy area'!F$4)</f>
        <v>3</v>
      </c>
      <c r="G6" s="71">
        <f>COUNTIFS('Local HTA submissions'!$E:$E,'By therapy area'!$A6,'Local HTA submissions'!$C:$C,'By therapy area'!G$4)</f>
        <v>0</v>
      </c>
      <c r="H6" s="71">
        <f>COUNTIFS('Local HTA submissions'!$E:$E,'By therapy area'!$A6,'Local HTA submissions'!$C:$C,'By therapy area'!H$4)</f>
        <v>5</v>
      </c>
      <c r="I6" s="71">
        <f>COUNTIFS('Local HTA submissions'!$E:$E,'By therapy area'!$A6,'Local HTA submissions'!$C:$C,'By therapy area'!I$4)</f>
        <v>1</v>
      </c>
      <c r="J6" s="71">
        <f>COUNTIFS('Local HTA submissions'!$E:$E,'By therapy area'!$A6,'Local HTA submissions'!$C:$C,'By therapy area'!J$4)</f>
        <v>3</v>
      </c>
      <c r="K6" s="71">
        <f>COUNTIFS('Local HTA submissions'!$E:$E,'By therapy area'!$A6,'Local HTA submissions'!$C:$C,'By therapy area'!K$4)</f>
        <v>0</v>
      </c>
      <c r="L6" s="71">
        <f>COUNTIFS('Local HTA submissions'!$E:$E,'By therapy area'!$A6,'Local HTA submissions'!$C:$C,'By therapy area'!L$4)</f>
        <v>1</v>
      </c>
      <c r="M6" s="71">
        <f>COUNTIFS('Local HTA submissions'!$E:$E,'By therapy area'!$A6,'Local HTA submissions'!$C:$C,'By therapy area'!M$4)</f>
        <v>0</v>
      </c>
      <c r="N6" s="71">
        <f>COUNTIFS('Local HTA submissions'!$E:$E,'By therapy area'!$A6,'Local HTA submissions'!$C:$C,'By therapy area'!N$4)</f>
        <v>0</v>
      </c>
      <c r="O6" s="71">
        <f>COUNTIFS('Local HTA submissions'!$E:$E,'By therapy area'!$A6,'Local HTA submissions'!$C:$C,'By therapy area'!O$4)</f>
        <v>0</v>
      </c>
      <c r="P6" s="71">
        <f>COUNTIFS('Local HTA submissions'!$E:$E,'By therapy area'!$A6,'Local HTA submissions'!$C:$C,'By therapy area'!P$4)</f>
        <v>0</v>
      </c>
      <c r="Q6" s="71">
        <f t="shared" si="0"/>
        <v>16</v>
      </c>
      <c r="R6" s="75">
        <f t="shared" ref="R6:R38" si="1">Q6/$Q$38</f>
        <v>2.9143897996357013E-2</v>
      </c>
    </row>
    <row r="7" spans="1:18">
      <c r="A7" s="73" t="str">
        <f>'Local HTA submissions'!AD4</f>
        <v>Gastroenterology</v>
      </c>
      <c r="B7" s="70">
        <f>COUNTIFS('Local HTA submissions'!$E:$E,'By therapy area'!$A7,'Local HTA submissions'!$C:$C,'By therapy area'!B$4)</f>
        <v>1</v>
      </c>
      <c r="C7" s="70">
        <f>COUNTIFS('Local HTA submissions'!$E:$E,'By therapy area'!$A7,'Local HTA submissions'!$C:$C,'By therapy area'!C$4)</f>
        <v>1</v>
      </c>
      <c r="D7" s="70">
        <f>COUNTIFS('Local HTA submissions'!$E:$E,'By therapy area'!$A7,'Local HTA submissions'!$C:$C,'By therapy area'!D$4)</f>
        <v>0</v>
      </c>
      <c r="E7" s="70">
        <f>COUNTIFS('Local HTA submissions'!$E:$E,'By therapy area'!$A7,'Local HTA submissions'!$C:$C,'By therapy area'!E$4)</f>
        <v>0</v>
      </c>
      <c r="F7" s="70">
        <f>COUNTIFS('Local HTA submissions'!$E:$E,'By therapy area'!$A7,'Local HTA submissions'!$C:$C,'By therapy area'!F$4)</f>
        <v>0</v>
      </c>
      <c r="G7" s="70">
        <f>COUNTIFS('Local HTA submissions'!$E:$E,'By therapy area'!$A7,'Local HTA submissions'!$C:$C,'By therapy area'!G$4)</f>
        <v>0</v>
      </c>
      <c r="H7" s="70">
        <f>COUNTIFS('Local HTA submissions'!$E:$E,'By therapy area'!$A7,'Local HTA submissions'!$C:$C,'By therapy area'!H$4)</f>
        <v>0</v>
      </c>
      <c r="I7" s="70">
        <f>COUNTIFS('Local HTA submissions'!$E:$E,'By therapy area'!$A7,'Local HTA submissions'!$C:$C,'By therapy area'!I$4)</f>
        <v>0</v>
      </c>
      <c r="J7" s="70">
        <f>COUNTIFS('Local HTA submissions'!$E:$E,'By therapy area'!$A7,'Local HTA submissions'!$C:$C,'By therapy area'!J$4)</f>
        <v>0</v>
      </c>
      <c r="K7" s="70">
        <f>COUNTIFS('Local HTA submissions'!$E:$E,'By therapy area'!$A7,'Local HTA submissions'!$C:$C,'By therapy area'!K$4)</f>
        <v>0</v>
      </c>
      <c r="L7" s="70">
        <f>COUNTIFS('Local HTA submissions'!$E:$E,'By therapy area'!$A7,'Local HTA submissions'!$C:$C,'By therapy area'!L$4)</f>
        <v>0</v>
      </c>
      <c r="M7" s="70">
        <f>COUNTIFS('Local HTA submissions'!$E:$E,'By therapy area'!$A7,'Local HTA submissions'!$C:$C,'By therapy area'!M$4)</f>
        <v>0</v>
      </c>
      <c r="N7" s="70">
        <f>COUNTIFS('Local HTA submissions'!$E:$E,'By therapy area'!$A7,'Local HTA submissions'!$C:$C,'By therapy area'!N$4)</f>
        <v>0</v>
      </c>
      <c r="O7" s="70">
        <f>COUNTIFS('Local HTA submissions'!$E:$E,'By therapy area'!$A7,'Local HTA submissions'!$C:$C,'By therapy area'!O$4)</f>
        <v>0</v>
      </c>
      <c r="P7" s="70">
        <f>COUNTIFS('Local HTA submissions'!$E:$E,'By therapy area'!$A7,'Local HTA submissions'!$C:$C,'By therapy area'!P$4)</f>
        <v>0</v>
      </c>
      <c r="Q7" s="70">
        <f t="shared" si="0"/>
        <v>2</v>
      </c>
      <c r="R7" s="75">
        <f t="shared" si="1"/>
        <v>3.6429872495446266E-3</v>
      </c>
    </row>
    <row r="8" spans="1:18">
      <c r="A8" s="73" t="str">
        <f>'Local HTA submissions'!AD5</f>
        <v>Cardiovascular diseases</v>
      </c>
      <c r="B8" s="71">
        <f>COUNTIFS('Local HTA submissions'!$E:$E,'By therapy area'!$A8,'Local HTA submissions'!$C:$C,'By therapy area'!B$4)</f>
        <v>6</v>
      </c>
      <c r="C8" s="71">
        <f>COUNTIFS('Local HTA submissions'!$E:$E,'By therapy area'!$A8,'Local HTA submissions'!$C:$C,'By therapy area'!C$4)</f>
        <v>0</v>
      </c>
      <c r="D8" s="71">
        <f>COUNTIFS('Local HTA submissions'!$E:$E,'By therapy area'!$A8,'Local HTA submissions'!$C:$C,'By therapy area'!D$4)</f>
        <v>1</v>
      </c>
      <c r="E8" s="71">
        <f>COUNTIFS('Local HTA submissions'!$E:$E,'By therapy area'!$A8,'Local HTA submissions'!$C:$C,'By therapy area'!E$4)</f>
        <v>1</v>
      </c>
      <c r="F8" s="71">
        <f>COUNTIFS('Local HTA submissions'!$E:$E,'By therapy area'!$A8,'Local HTA submissions'!$C:$C,'By therapy area'!F$4)</f>
        <v>2</v>
      </c>
      <c r="G8" s="71">
        <f>COUNTIFS('Local HTA submissions'!$E:$E,'By therapy area'!$A8,'Local HTA submissions'!$C:$C,'By therapy area'!G$4)</f>
        <v>4</v>
      </c>
      <c r="H8" s="71">
        <f>COUNTIFS('Local HTA submissions'!$E:$E,'By therapy area'!$A8,'Local HTA submissions'!$C:$C,'By therapy area'!H$4)</f>
        <v>1</v>
      </c>
      <c r="I8" s="71">
        <f>COUNTIFS('Local HTA submissions'!$E:$E,'By therapy area'!$A8,'Local HTA submissions'!$C:$C,'By therapy area'!I$4)</f>
        <v>6</v>
      </c>
      <c r="J8" s="71">
        <f>COUNTIFS('Local HTA submissions'!$E:$E,'By therapy area'!$A8,'Local HTA submissions'!$C:$C,'By therapy area'!J$4)</f>
        <v>18</v>
      </c>
      <c r="K8" s="71">
        <f>COUNTIFS('Local HTA submissions'!$E:$E,'By therapy area'!$A8,'Local HTA submissions'!$C:$C,'By therapy area'!K$4)</f>
        <v>0</v>
      </c>
      <c r="L8" s="71">
        <f>COUNTIFS('Local HTA submissions'!$E:$E,'By therapy area'!$A8,'Local HTA submissions'!$C:$C,'By therapy area'!L$4)</f>
        <v>0</v>
      </c>
      <c r="M8" s="71">
        <f>COUNTIFS('Local HTA submissions'!$E:$E,'By therapy area'!$A8,'Local HTA submissions'!$C:$C,'By therapy area'!M$4)</f>
        <v>0</v>
      </c>
      <c r="N8" s="71">
        <f>COUNTIFS('Local HTA submissions'!$E:$E,'By therapy area'!$A8,'Local HTA submissions'!$C:$C,'By therapy area'!N$4)</f>
        <v>0</v>
      </c>
      <c r="O8" s="71">
        <f>COUNTIFS('Local HTA submissions'!$E:$E,'By therapy area'!$A8,'Local HTA submissions'!$C:$C,'By therapy area'!O$4)</f>
        <v>0</v>
      </c>
      <c r="P8" s="71">
        <f>COUNTIFS('Local HTA submissions'!$E:$E,'By therapy area'!$A8,'Local HTA submissions'!$C:$C,'By therapy area'!P$4)</f>
        <v>0</v>
      </c>
      <c r="Q8" s="71">
        <f t="shared" si="0"/>
        <v>39</v>
      </c>
      <c r="R8" s="75">
        <f t="shared" si="1"/>
        <v>7.1038251366120214E-2</v>
      </c>
    </row>
    <row r="9" spans="1:18">
      <c r="A9" s="73" t="str">
        <f>'Local HTA submissions'!AD6</f>
        <v>Respiratory</v>
      </c>
      <c r="B9" s="70">
        <f>COUNTIFS('Local HTA submissions'!$E:$E,'By therapy area'!$A9,'Local HTA submissions'!$C:$C,'By therapy area'!B$4)</f>
        <v>1</v>
      </c>
      <c r="C9" s="70">
        <f>COUNTIFS('Local HTA submissions'!$E:$E,'By therapy area'!$A9,'Local HTA submissions'!$C:$C,'By therapy area'!C$4)</f>
        <v>1</v>
      </c>
      <c r="D9" s="70">
        <f>COUNTIFS('Local HTA submissions'!$E:$E,'By therapy area'!$A9,'Local HTA submissions'!$C:$C,'By therapy area'!D$4)</f>
        <v>0</v>
      </c>
      <c r="E9" s="70">
        <f>COUNTIFS('Local HTA submissions'!$E:$E,'By therapy area'!$A9,'Local HTA submissions'!$C:$C,'By therapy area'!E$4)</f>
        <v>0</v>
      </c>
      <c r="F9" s="70">
        <f>COUNTIFS('Local HTA submissions'!$E:$E,'By therapy area'!$A9,'Local HTA submissions'!$C:$C,'By therapy area'!F$4)</f>
        <v>0</v>
      </c>
      <c r="G9" s="70">
        <f>COUNTIFS('Local HTA submissions'!$E:$E,'By therapy area'!$A9,'Local HTA submissions'!$C:$C,'By therapy area'!G$4)</f>
        <v>4</v>
      </c>
      <c r="H9" s="70">
        <f>COUNTIFS('Local HTA submissions'!$E:$E,'By therapy area'!$A9,'Local HTA submissions'!$C:$C,'By therapy area'!H$4)</f>
        <v>3</v>
      </c>
      <c r="I9" s="70">
        <f>COUNTIFS('Local HTA submissions'!$E:$E,'By therapy area'!$A9,'Local HTA submissions'!$C:$C,'By therapy area'!I$4)</f>
        <v>1</v>
      </c>
      <c r="J9" s="70">
        <f>COUNTIFS('Local HTA submissions'!$E:$E,'By therapy area'!$A9,'Local HTA submissions'!$C:$C,'By therapy area'!J$4)</f>
        <v>13</v>
      </c>
      <c r="K9" s="70">
        <f>COUNTIFS('Local HTA submissions'!$E:$E,'By therapy area'!$A9,'Local HTA submissions'!$C:$C,'By therapy area'!K$4)</f>
        <v>1</v>
      </c>
      <c r="L9" s="70">
        <f>COUNTIFS('Local HTA submissions'!$E:$E,'By therapy area'!$A9,'Local HTA submissions'!$C:$C,'By therapy area'!L$4)</f>
        <v>0</v>
      </c>
      <c r="M9" s="70">
        <f>COUNTIFS('Local HTA submissions'!$E:$E,'By therapy area'!$A9,'Local HTA submissions'!$C:$C,'By therapy area'!M$4)</f>
        <v>0</v>
      </c>
      <c r="N9" s="70">
        <f>COUNTIFS('Local HTA submissions'!$E:$E,'By therapy area'!$A9,'Local HTA submissions'!$C:$C,'By therapy area'!N$4)</f>
        <v>0</v>
      </c>
      <c r="O9" s="70">
        <f>COUNTIFS('Local HTA submissions'!$E:$E,'By therapy area'!$A9,'Local HTA submissions'!$C:$C,'By therapy area'!O$4)</f>
        <v>0</v>
      </c>
      <c r="P9" s="70">
        <f>COUNTIFS('Local HTA submissions'!$E:$E,'By therapy area'!$A9,'Local HTA submissions'!$C:$C,'By therapy area'!P$4)</f>
        <v>0</v>
      </c>
      <c r="Q9" s="70">
        <f t="shared" si="0"/>
        <v>24</v>
      </c>
      <c r="R9" s="75">
        <f t="shared" si="1"/>
        <v>4.3715846994535519E-2</v>
      </c>
    </row>
    <row r="10" spans="1:18">
      <c r="A10" s="73" t="str">
        <f>'Local HTA submissions'!AD7</f>
        <v>Muscoloskeletal</v>
      </c>
      <c r="B10" s="71">
        <f>COUNTIFS('Local HTA submissions'!$E:$E,'By therapy area'!$A10,'Local HTA submissions'!$C:$C,'By therapy area'!B$4)</f>
        <v>5</v>
      </c>
      <c r="C10" s="71">
        <f>COUNTIFS('Local HTA submissions'!$E:$E,'By therapy area'!$A10,'Local HTA submissions'!$C:$C,'By therapy area'!C$4)</f>
        <v>2</v>
      </c>
      <c r="D10" s="71">
        <f>COUNTIFS('Local HTA submissions'!$E:$E,'By therapy area'!$A10,'Local HTA submissions'!$C:$C,'By therapy area'!D$4)</f>
        <v>0</v>
      </c>
      <c r="E10" s="71">
        <f>COUNTIFS('Local HTA submissions'!$E:$E,'By therapy area'!$A10,'Local HTA submissions'!$C:$C,'By therapy area'!E$4)</f>
        <v>2</v>
      </c>
      <c r="F10" s="71">
        <f>COUNTIFS('Local HTA submissions'!$E:$E,'By therapy area'!$A10,'Local HTA submissions'!$C:$C,'By therapy area'!F$4)</f>
        <v>3</v>
      </c>
      <c r="G10" s="71">
        <f>COUNTIFS('Local HTA submissions'!$E:$E,'By therapy area'!$A10,'Local HTA submissions'!$C:$C,'By therapy area'!G$4)</f>
        <v>2</v>
      </c>
      <c r="H10" s="71">
        <f>COUNTIFS('Local HTA submissions'!$E:$E,'By therapy area'!$A10,'Local HTA submissions'!$C:$C,'By therapy area'!H$4)</f>
        <v>1</v>
      </c>
      <c r="I10" s="71">
        <f>COUNTIFS('Local HTA submissions'!$E:$E,'By therapy area'!$A10,'Local HTA submissions'!$C:$C,'By therapy area'!I$4)</f>
        <v>1</v>
      </c>
      <c r="J10" s="71">
        <f>COUNTIFS('Local HTA submissions'!$E:$E,'By therapy area'!$A10,'Local HTA submissions'!$C:$C,'By therapy area'!J$4)</f>
        <v>2</v>
      </c>
      <c r="K10" s="71">
        <f>COUNTIFS('Local HTA submissions'!$E:$E,'By therapy area'!$A10,'Local HTA submissions'!$C:$C,'By therapy area'!K$4)</f>
        <v>0</v>
      </c>
      <c r="L10" s="71">
        <f>COUNTIFS('Local HTA submissions'!$E:$E,'By therapy area'!$A10,'Local HTA submissions'!$C:$C,'By therapy area'!L$4)</f>
        <v>0</v>
      </c>
      <c r="M10" s="71">
        <f>COUNTIFS('Local HTA submissions'!$E:$E,'By therapy area'!$A10,'Local HTA submissions'!$C:$C,'By therapy area'!M$4)</f>
        <v>0</v>
      </c>
      <c r="N10" s="71">
        <f>COUNTIFS('Local HTA submissions'!$E:$E,'By therapy area'!$A10,'Local HTA submissions'!$C:$C,'By therapy area'!N$4)</f>
        <v>0</v>
      </c>
      <c r="O10" s="71">
        <f>COUNTIFS('Local HTA submissions'!$E:$E,'By therapy area'!$A10,'Local HTA submissions'!$C:$C,'By therapy area'!O$4)</f>
        <v>0</v>
      </c>
      <c r="P10" s="71">
        <f>COUNTIFS('Local HTA submissions'!$E:$E,'By therapy area'!$A10,'Local HTA submissions'!$C:$C,'By therapy area'!P$4)</f>
        <v>0</v>
      </c>
      <c r="Q10" s="71">
        <f t="shared" si="0"/>
        <v>18</v>
      </c>
      <c r="R10" s="75">
        <f t="shared" si="1"/>
        <v>3.2786885245901641E-2</v>
      </c>
    </row>
    <row r="11" spans="1:18">
      <c r="A11" s="73" t="str">
        <f>'Local HTA submissions'!AD8</f>
        <v>Other/None</v>
      </c>
      <c r="B11" s="70">
        <f>COUNTIFS('Local HTA submissions'!$E:$E,'By therapy area'!$A11,'Local HTA submissions'!$C:$C,'By therapy area'!B$4)</f>
        <v>1</v>
      </c>
      <c r="C11" s="70">
        <f>COUNTIFS('Local HTA submissions'!$E:$E,'By therapy area'!$A11,'Local HTA submissions'!$C:$C,'By therapy area'!C$4)</f>
        <v>0</v>
      </c>
      <c r="D11" s="70">
        <f>COUNTIFS('Local HTA submissions'!$E:$E,'By therapy area'!$A11,'Local HTA submissions'!$C:$C,'By therapy area'!D$4)</f>
        <v>0</v>
      </c>
      <c r="E11" s="70">
        <f>COUNTIFS('Local HTA submissions'!$E:$E,'By therapy area'!$A11,'Local HTA submissions'!$C:$C,'By therapy area'!E$4)</f>
        <v>0</v>
      </c>
      <c r="F11" s="70">
        <f>COUNTIFS('Local HTA submissions'!$E:$E,'By therapy area'!$A11,'Local HTA submissions'!$C:$C,'By therapy area'!F$4)</f>
        <v>3</v>
      </c>
      <c r="G11" s="70">
        <f>COUNTIFS('Local HTA submissions'!$E:$E,'By therapy area'!$A11,'Local HTA submissions'!$C:$C,'By therapy area'!G$4)</f>
        <v>1</v>
      </c>
      <c r="H11" s="70">
        <f>COUNTIFS('Local HTA submissions'!$E:$E,'By therapy area'!$A11,'Local HTA submissions'!$C:$C,'By therapy area'!H$4)</f>
        <v>0</v>
      </c>
      <c r="I11" s="70">
        <f>COUNTIFS('Local HTA submissions'!$E:$E,'By therapy area'!$A11,'Local HTA submissions'!$C:$C,'By therapy area'!I$4)</f>
        <v>13</v>
      </c>
      <c r="J11" s="70">
        <f>COUNTIFS('Local HTA submissions'!$E:$E,'By therapy area'!$A11,'Local HTA submissions'!$C:$C,'By therapy area'!J$4)</f>
        <v>8</v>
      </c>
      <c r="K11" s="70">
        <f>COUNTIFS('Local HTA submissions'!$E:$E,'By therapy area'!$A11,'Local HTA submissions'!$C:$C,'By therapy area'!K$4)</f>
        <v>0</v>
      </c>
      <c r="L11" s="70">
        <f>COUNTIFS('Local HTA submissions'!$E:$E,'By therapy area'!$A11,'Local HTA submissions'!$C:$C,'By therapy area'!L$4)</f>
        <v>0</v>
      </c>
      <c r="M11" s="70">
        <f>COUNTIFS('Local HTA submissions'!$E:$E,'By therapy area'!$A11,'Local HTA submissions'!$C:$C,'By therapy area'!M$4)</f>
        <v>0</v>
      </c>
      <c r="N11" s="70">
        <f>COUNTIFS('Local HTA submissions'!$E:$E,'By therapy area'!$A11,'Local HTA submissions'!$C:$C,'By therapy area'!N$4)</f>
        <v>0</v>
      </c>
      <c r="O11" s="70">
        <f>COUNTIFS('Local HTA submissions'!$E:$E,'By therapy area'!$A11,'Local HTA submissions'!$C:$C,'By therapy area'!O$4)</f>
        <v>0</v>
      </c>
      <c r="P11" s="70">
        <f>COUNTIFS('Local HTA submissions'!$E:$E,'By therapy area'!$A11,'Local HTA submissions'!$C:$C,'By therapy area'!P$4)</f>
        <v>0</v>
      </c>
      <c r="Q11" s="70">
        <f t="shared" si="0"/>
        <v>26</v>
      </c>
      <c r="R11" s="75">
        <f t="shared" si="1"/>
        <v>4.7358834244080147E-2</v>
      </c>
    </row>
    <row r="12" spans="1:18">
      <c r="A12" s="73" t="str">
        <f>'Local HTA submissions'!AD9</f>
        <v>Metabolic/Endocrine Disorders</v>
      </c>
      <c r="B12" s="71">
        <f>COUNTIFS('Local HTA submissions'!$E:$E,'By therapy area'!$A12,'Local HTA submissions'!$C:$C,'By therapy area'!B$4)</f>
        <v>7</v>
      </c>
      <c r="C12" s="71">
        <f>COUNTIFS('Local HTA submissions'!$E:$E,'By therapy area'!$A12,'Local HTA submissions'!$C:$C,'By therapy area'!C$4)</f>
        <v>5</v>
      </c>
      <c r="D12" s="71">
        <f>COUNTIFS('Local HTA submissions'!$E:$E,'By therapy area'!$A12,'Local HTA submissions'!$C:$C,'By therapy area'!D$4)</f>
        <v>2</v>
      </c>
      <c r="E12" s="71">
        <f>COUNTIFS('Local HTA submissions'!$E:$E,'By therapy area'!$A12,'Local HTA submissions'!$C:$C,'By therapy area'!E$4)</f>
        <v>2</v>
      </c>
      <c r="F12" s="71">
        <f>COUNTIFS('Local HTA submissions'!$E:$E,'By therapy area'!$A12,'Local HTA submissions'!$C:$C,'By therapy area'!F$4)</f>
        <v>12</v>
      </c>
      <c r="G12" s="71">
        <f>COUNTIFS('Local HTA submissions'!$E:$E,'By therapy area'!$A12,'Local HTA submissions'!$C:$C,'By therapy area'!G$4)</f>
        <v>9</v>
      </c>
      <c r="H12" s="71">
        <f>COUNTIFS('Local HTA submissions'!$E:$E,'By therapy area'!$A12,'Local HTA submissions'!$C:$C,'By therapy area'!H$4)</f>
        <v>4</v>
      </c>
      <c r="I12" s="71">
        <f>COUNTIFS('Local HTA submissions'!$E:$E,'By therapy area'!$A12,'Local HTA submissions'!$C:$C,'By therapy area'!I$4)</f>
        <v>2</v>
      </c>
      <c r="J12" s="71">
        <f>COUNTIFS('Local HTA submissions'!$E:$E,'By therapy area'!$A12,'Local HTA submissions'!$C:$C,'By therapy area'!J$4)</f>
        <v>11</v>
      </c>
      <c r="K12" s="71">
        <f>COUNTIFS('Local HTA submissions'!$E:$E,'By therapy area'!$A12,'Local HTA submissions'!$C:$C,'By therapy area'!K$4)</f>
        <v>0</v>
      </c>
      <c r="L12" s="71">
        <f>COUNTIFS('Local HTA submissions'!$E:$E,'By therapy area'!$A12,'Local HTA submissions'!$C:$C,'By therapy area'!L$4)</f>
        <v>1</v>
      </c>
      <c r="M12" s="71">
        <f>COUNTIFS('Local HTA submissions'!$E:$E,'By therapy area'!$A12,'Local HTA submissions'!$C:$C,'By therapy area'!M$4)</f>
        <v>0</v>
      </c>
      <c r="N12" s="71">
        <f>COUNTIFS('Local HTA submissions'!$E:$E,'By therapy area'!$A12,'Local HTA submissions'!$C:$C,'By therapy area'!N$4)</f>
        <v>0</v>
      </c>
      <c r="O12" s="71">
        <f>COUNTIFS('Local HTA submissions'!$E:$E,'By therapy area'!$A12,'Local HTA submissions'!$C:$C,'By therapy area'!O$4)</f>
        <v>0</v>
      </c>
      <c r="P12" s="71">
        <f>COUNTIFS('Local HTA submissions'!$E:$E,'By therapy area'!$A12,'Local HTA submissions'!$C:$C,'By therapy area'!P$4)</f>
        <v>0</v>
      </c>
      <c r="Q12" s="71">
        <f t="shared" si="0"/>
        <v>55</v>
      </c>
      <c r="R12" s="75">
        <f t="shared" si="1"/>
        <v>0.10018214936247723</v>
      </c>
    </row>
    <row r="13" spans="1:18">
      <c r="A13" s="73" t="str">
        <f>'Local HTA submissions'!AD10</f>
        <v>Dermatology</v>
      </c>
      <c r="B13" s="70">
        <f>COUNTIFS('Local HTA submissions'!$E:$E,'By therapy area'!$A13,'Local HTA submissions'!$C:$C,'By therapy area'!B$4)</f>
        <v>2</v>
      </c>
      <c r="C13" s="70">
        <f>COUNTIFS('Local HTA submissions'!$E:$E,'By therapy area'!$A13,'Local HTA submissions'!$C:$C,'By therapy area'!C$4)</f>
        <v>1</v>
      </c>
      <c r="D13" s="70">
        <f>COUNTIFS('Local HTA submissions'!$E:$E,'By therapy area'!$A13,'Local HTA submissions'!$C:$C,'By therapy area'!D$4)</f>
        <v>0</v>
      </c>
      <c r="E13" s="70">
        <f>COUNTIFS('Local HTA submissions'!$E:$E,'By therapy area'!$A13,'Local HTA submissions'!$C:$C,'By therapy area'!E$4)</f>
        <v>2</v>
      </c>
      <c r="F13" s="70">
        <f>COUNTIFS('Local HTA submissions'!$E:$E,'By therapy area'!$A13,'Local HTA submissions'!$C:$C,'By therapy area'!F$4)</f>
        <v>4</v>
      </c>
      <c r="G13" s="70">
        <f>COUNTIFS('Local HTA submissions'!$E:$E,'By therapy area'!$A13,'Local HTA submissions'!$C:$C,'By therapy area'!G$4)</f>
        <v>5</v>
      </c>
      <c r="H13" s="70">
        <f>COUNTIFS('Local HTA submissions'!$E:$E,'By therapy area'!$A13,'Local HTA submissions'!$C:$C,'By therapy area'!H$4)</f>
        <v>0</v>
      </c>
      <c r="I13" s="70">
        <f>COUNTIFS('Local HTA submissions'!$E:$E,'By therapy area'!$A13,'Local HTA submissions'!$C:$C,'By therapy area'!I$4)</f>
        <v>0</v>
      </c>
      <c r="J13" s="70">
        <f>COUNTIFS('Local HTA submissions'!$E:$E,'By therapy area'!$A13,'Local HTA submissions'!$C:$C,'By therapy area'!J$4)</f>
        <v>8</v>
      </c>
      <c r="K13" s="70">
        <f>COUNTIFS('Local HTA submissions'!$E:$E,'By therapy area'!$A13,'Local HTA submissions'!$C:$C,'By therapy area'!K$4)</f>
        <v>0</v>
      </c>
      <c r="L13" s="70">
        <f>COUNTIFS('Local HTA submissions'!$E:$E,'By therapy area'!$A13,'Local HTA submissions'!$C:$C,'By therapy area'!L$4)</f>
        <v>0</v>
      </c>
      <c r="M13" s="70">
        <f>COUNTIFS('Local HTA submissions'!$E:$E,'By therapy area'!$A13,'Local HTA submissions'!$C:$C,'By therapy area'!M$4)</f>
        <v>0</v>
      </c>
      <c r="N13" s="70">
        <f>COUNTIFS('Local HTA submissions'!$E:$E,'By therapy area'!$A13,'Local HTA submissions'!$C:$C,'By therapy area'!N$4)</f>
        <v>0</v>
      </c>
      <c r="O13" s="70">
        <f>COUNTIFS('Local HTA submissions'!$E:$E,'By therapy area'!$A13,'Local HTA submissions'!$C:$C,'By therapy area'!O$4)</f>
        <v>0</v>
      </c>
      <c r="P13" s="70">
        <f>COUNTIFS('Local HTA submissions'!$E:$E,'By therapy area'!$A13,'Local HTA submissions'!$C:$C,'By therapy area'!P$4)</f>
        <v>0</v>
      </c>
      <c r="Q13" s="70">
        <f t="shared" si="0"/>
        <v>22</v>
      </c>
      <c r="R13" s="75">
        <f t="shared" si="1"/>
        <v>4.0072859744990891E-2</v>
      </c>
    </row>
    <row r="14" spans="1:18">
      <c r="A14" s="73" t="str">
        <f>'Local HTA submissions'!AD11</f>
        <v>Infectious diseases</v>
      </c>
      <c r="B14" s="71">
        <f>COUNTIFS('Local HTA submissions'!$E:$E,'By therapy area'!$A14,'Local HTA submissions'!$C:$C,'By therapy area'!B$4)</f>
        <v>1</v>
      </c>
      <c r="C14" s="71">
        <f>COUNTIFS('Local HTA submissions'!$E:$E,'By therapy area'!$A14,'Local HTA submissions'!$C:$C,'By therapy area'!C$4)</f>
        <v>3</v>
      </c>
      <c r="D14" s="71">
        <f>COUNTIFS('Local HTA submissions'!$E:$E,'By therapy area'!$A14,'Local HTA submissions'!$C:$C,'By therapy area'!D$4)</f>
        <v>1</v>
      </c>
      <c r="E14" s="71">
        <f>COUNTIFS('Local HTA submissions'!$E:$E,'By therapy area'!$A14,'Local HTA submissions'!$C:$C,'By therapy area'!E$4)</f>
        <v>3</v>
      </c>
      <c r="F14" s="71">
        <f>COUNTIFS('Local HTA submissions'!$E:$E,'By therapy area'!$A14,'Local HTA submissions'!$C:$C,'By therapy area'!F$4)</f>
        <v>6</v>
      </c>
      <c r="G14" s="71">
        <f>COUNTIFS('Local HTA submissions'!$E:$E,'By therapy area'!$A14,'Local HTA submissions'!$C:$C,'By therapy area'!G$4)</f>
        <v>1</v>
      </c>
      <c r="H14" s="71">
        <f>COUNTIFS('Local HTA submissions'!$E:$E,'By therapy area'!$A14,'Local HTA submissions'!$C:$C,'By therapy area'!H$4)</f>
        <v>6</v>
      </c>
      <c r="I14" s="71">
        <f>COUNTIFS('Local HTA submissions'!$E:$E,'By therapy area'!$A14,'Local HTA submissions'!$C:$C,'By therapy area'!I$4)</f>
        <v>0</v>
      </c>
      <c r="J14" s="71">
        <f>COUNTIFS('Local HTA submissions'!$E:$E,'By therapy area'!$A14,'Local HTA submissions'!$C:$C,'By therapy area'!J$4)</f>
        <v>9</v>
      </c>
      <c r="K14" s="71">
        <f>COUNTIFS('Local HTA submissions'!$E:$E,'By therapy area'!$A14,'Local HTA submissions'!$C:$C,'By therapy area'!K$4)</f>
        <v>0</v>
      </c>
      <c r="L14" s="71">
        <f>COUNTIFS('Local HTA submissions'!$E:$E,'By therapy area'!$A14,'Local HTA submissions'!$C:$C,'By therapy area'!L$4)</f>
        <v>0</v>
      </c>
      <c r="M14" s="71">
        <f>COUNTIFS('Local HTA submissions'!$E:$E,'By therapy area'!$A14,'Local HTA submissions'!$C:$C,'By therapy area'!M$4)</f>
        <v>0</v>
      </c>
      <c r="N14" s="71">
        <f>COUNTIFS('Local HTA submissions'!$E:$E,'By therapy area'!$A14,'Local HTA submissions'!$C:$C,'By therapy area'!N$4)</f>
        <v>0</v>
      </c>
      <c r="O14" s="71">
        <f>COUNTIFS('Local HTA submissions'!$E:$E,'By therapy area'!$A14,'Local HTA submissions'!$C:$C,'By therapy area'!O$4)</f>
        <v>0</v>
      </c>
      <c r="P14" s="71">
        <f>COUNTIFS('Local HTA submissions'!$E:$E,'By therapy area'!$A14,'Local HTA submissions'!$C:$C,'By therapy area'!P$4)</f>
        <v>0</v>
      </c>
      <c r="Q14" s="71">
        <f t="shared" si="0"/>
        <v>30</v>
      </c>
      <c r="R14" s="75">
        <f t="shared" si="1"/>
        <v>5.4644808743169397E-2</v>
      </c>
    </row>
    <row r="15" spans="1:18">
      <c r="A15" s="73" t="str">
        <f>'Local HTA submissions'!AD12</f>
        <v>Ophthalmology</v>
      </c>
      <c r="B15" s="70">
        <f>COUNTIFS('Local HTA submissions'!$E:$E,'By therapy area'!$A15,'Local HTA submissions'!$C:$C,'By therapy area'!B$4)</f>
        <v>5</v>
      </c>
      <c r="C15" s="70">
        <f>COUNTIFS('Local HTA submissions'!$E:$E,'By therapy area'!$A15,'Local HTA submissions'!$C:$C,'By therapy area'!C$4)</f>
        <v>1</v>
      </c>
      <c r="D15" s="70">
        <f>COUNTIFS('Local HTA submissions'!$E:$E,'By therapy area'!$A15,'Local HTA submissions'!$C:$C,'By therapy area'!D$4)</f>
        <v>0</v>
      </c>
      <c r="E15" s="70">
        <f>COUNTIFS('Local HTA submissions'!$E:$E,'By therapy area'!$A15,'Local HTA submissions'!$C:$C,'By therapy area'!E$4)</f>
        <v>3</v>
      </c>
      <c r="F15" s="70">
        <f>COUNTIFS('Local HTA submissions'!$E:$E,'By therapy area'!$A15,'Local HTA submissions'!$C:$C,'By therapy area'!F$4)</f>
        <v>2</v>
      </c>
      <c r="G15" s="70">
        <f>COUNTIFS('Local HTA submissions'!$E:$E,'By therapy area'!$A15,'Local HTA submissions'!$C:$C,'By therapy area'!G$4)</f>
        <v>1</v>
      </c>
      <c r="H15" s="70">
        <f>COUNTIFS('Local HTA submissions'!$E:$E,'By therapy area'!$A15,'Local HTA submissions'!$C:$C,'By therapy area'!H$4)</f>
        <v>0</v>
      </c>
      <c r="I15" s="70">
        <f>COUNTIFS('Local HTA submissions'!$E:$E,'By therapy area'!$A15,'Local HTA submissions'!$C:$C,'By therapy area'!I$4)</f>
        <v>1</v>
      </c>
      <c r="J15" s="70">
        <f>COUNTIFS('Local HTA submissions'!$E:$E,'By therapy area'!$A15,'Local HTA submissions'!$C:$C,'By therapy area'!J$4)</f>
        <v>1</v>
      </c>
      <c r="K15" s="70">
        <f>COUNTIFS('Local HTA submissions'!$E:$E,'By therapy area'!$A15,'Local HTA submissions'!$C:$C,'By therapy area'!K$4)</f>
        <v>0</v>
      </c>
      <c r="L15" s="70">
        <f>COUNTIFS('Local HTA submissions'!$E:$E,'By therapy area'!$A15,'Local HTA submissions'!$C:$C,'By therapy area'!L$4)</f>
        <v>2</v>
      </c>
      <c r="M15" s="70">
        <f>COUNTIFS('Local HTA submissions'!$E:$E,'By therapy area'!$A15,'Local HTA submissions'!$C:$C,'By therapy area'!M$4)</f>
        <v>0</v>
      </c>
      <c r="N15" s="70">
        <f>COUNTIFS('Local HTA submissions'!$E:$E,'By therapy area'!$A15,'Local HTA submissions'!$C:$C,'By therapy area'!N$4)</f>
        <v>0</v>
      </c>
      <c r="O15" s="70">
        <f>COUNTIFS('Local HTA submissions'!$E:$E,'By therapy area'!$A15,'Local HTA submissions'!$C:$C,'By therapy area'!O$4)</f>
        <v>0</v>
      </c>
      <c r="P15" s="70">
        <f>COUNTIFS('Local HTA submissions'!$E:$E,'By therapy area'!$A15,'Local HTA submissions'!$C:$C,'By therapy area'!P$4)</f>
        <v>0</v>
      </c>
      <c r="Q15" s="70">
        <f t="shared" si="0"/>
        <v>16</v>
      </c>
      <c r="R15" s="75">
        <f t="shared" si="1"/>
        <v>2.9143897996357013E-2</v>
      </c>
    </row>
    <row r="16" spans="1:18">
      <c r="A16" s="73" t="str">
        <f>'Local HTA submissions'!AD13</f>
        <v>Gynacology</v>
      </c>
      <c r="B16" s="71">
        <f>COUNTIFS('Local HTA submissions'!$E:$E,'By therapy area'!$A16,'Local HTA submissions'!$C:$C,'By therapy area'!B$4)</f>
        <v>0</v>
      </c>
      <c r="C16" s="71">
        <f>COUNTIFS('Local HTA submissions'!$E:$E,'By therapy area'!$A16,'Local HTA submissions'!$C:$C,'By therapy area'!C$4)</f>
        <v>2</v>
      </c>
      <c r="D16" s="71">
        <f>COUNTIFS('Local HTA submissions'!$E:$E,'By therapy area'!$A16,'Local HTA submissions'!$C:$C,'By therapy area'!D$4)</f>
        <v>1</v>
      </c>
      <c r="E16" s="71">
        <f>COUNTIFS('Local HTA submissions'!$E:$E,'By therapy area'!$A16,'Local HTA submissions'!$C:$C,'By therapy area'!E$4)</f>
        <v>0</v>
      </c>
      <c r="F16" s="71">
        <f>COUNTIFS('Local HTA submissions'!$E:$E,'By therapy area'!$A16,'Local HTA submissions'!$C:$C,'By therapy area'!F$4)</f>
        <v>0</v>
      </c>
      <c r="G16" s="71">
        <f>COUNTIFS('Local HTA submissions'!$E:$E,'By therapy area'!$A16,'Local HTA submissions'!$C:$C,'By therapy area'!G$4)</f>
        <v>0</v>
      </c>
      <c r="H16" s="71">
        <f>COUNTIFS('Local HTA submissions'!$E:$E,'By therapy area'!$A16,'Local HTA submissions'!$C:$C,'By therapy area'!H$4)</f>
        <v>0</v>
      </c>
      <c r="I16" s="71">
        <f>COUNTIFS('Local HTA submissions'!$E:$E,'By therapy area'!$A16,'Local HTA submissions'!$C:$C,'By therapy area'!I$4)</f>
        <v>4</v>
      </c>
      <c r="J16" s="71">
        <f>COUNTIFS('Local HTA submissions'!$E:$E,'By therapy area'!$A16,'Local HTA submissions'!$C:$C,'By therapy area'!J$4)</f>
        <v>8</v>
      </c>
      <c r="K16" s="71">
        <f>COUNTIFS('Local HTA submissions'!$E:$E,'By therapy area'!$A16,'Local HTA submissions'!$C:$C,'By therapy area'!K$4)</f>
        <v>0</v>
      </c>
      <c r="L16" s="71">
        <f>COUNTIFS('Local HTA submissions'!$E:$E,'By therapy area'!$A16,'Local HTA submissions'!$C:$C,'By therapy area'!L$4)</f>
        <v>0</v>
      </c>
      <c r="M16" s="71">
        <f>COUNTIFS('Local HTA submissions'!$E:$E,'By therapy area'!$A16,'Local HTA submissions'!$C:$C,'By therapy area'!M$4)</f>
        <v>0</v>
      </c>
      <c r="N16" s="71">
        <f>COUNTIFS('Local HTA submissions'!$E:$E,'By therapy area'!$A16,'Local HTA submissions'!$C:$C,'By therapy area'!N$4)</f>
        <v>0</v>
      </c>
      <c r="O16" s="71">
        <f>COUNTIFS('Local HTA submissions'!$E:$E,'By therapy area'!$A16,'Local HTA submissions'!$C:$C,'By therapy area'!O$4)</f>
        <v>0</v>
      </c>
      <c r="P16" s="71">
        <f>COUNTIFS('Local HTA submissions'!$E:$E,'By therapy area'!$A16,'Local HTA submissions'!$C:$C,'By therapy area'!P$4)</f>
        <v>0</v>
      </c>
      <c r="Q16" s="71">
        <f t="shared" si="0"/>
        <v>15</v>
      </c>
      <c r="R16" s="75">
        <f t="shared" si="1"/>
        <v>2.7322404371584699E-2</v>
      </c>
    </row>
    <row r="17" spans="1:18">
      <c r="A17" s="73" t="str">
        <f>'Local HTA submissions'!AD14</f>
        <v>Digestive system</v>
      </c>
      <c r="B17" s="70">
        <f>COUNTIFS('Local HTA submissions'!$E:$E,'By therapy area'!$A17,'Local HTA submissions'!$C:$C,'By therapy area'!B$4)</f>
        <v>0</v>
      </c>
      <c r="C17" s="70">
        <f>COUNTIFS('Local HTA submissions'!$E:$E,'By therapy area'!$A17,'Local HTA submissions'!$C:$C,'By therapy area'!C$4)</f>
        <v>0</v>
      </c>
      <c r="D17" s="70">
        <f>COUNTIFS('Local HTA submissions'!$E:$E,'By therapy area'!$A17,'Local HTA submissions'!$C:$C,'By therapy area'!D$4)</f>
        <v>0</v>
      </c>
      <c r="E17" s="70">
        <f>COUNTIFS('Local HTA submissions'!$E:$E,'By therapy area'!$A17,'Local HTA submissions'!$C:$C,'By therapy area'!E$4)</f>
        <v>1</v>
      </c>
      <c r="F17" s="70">
        <f>COUNTIFS('Local HTA submissions'!$E:$E,'By therapy area'!$A17,'Local HTA submissions'!$C:$C,'By therapy area'!F$4)</f>
        <v>2</v>
      </c>
      <c r="G17" s="70">
        <f>COUNTIFS('Local HTA submissions'!$E:$E,'By therapy area'!$A17,'Local HTA submissions'!$C:$C,'By therapy area'!G$4)</f>
        <v>1</v>
      </c>
      <c r="H17" s="70">
        <f>COUNTIFS('Local HTA submissions'!$E:$E,'By therapy area'!$A17,'Local HTA submissions'!$C:$C,'By therapy area'!H$4)</f>
        <v>2</v>
      </c>
      <c r="I17" s="70">
        <f>COUNTIFS('Local HTA submissions'!$E:$E,'By therapy area'!$A17,'Local HTA submissions'!$C:$C,'By therapy area'!I$4)</f>
        <v>0</v>
      </c>
      <c r="J17" s="70">
        <f>COUNTIFS('Local HTA submissions'!$E:$E,'By therapy area'!$A17,'Local HTA submissions'!$C:$C,'By therapy area'!J$4)</f>
        <v>18</v>
      </c>
      <c r="K17" s="70">
        <f>COUNTIFS('Local HTA submissions'!$E:$E,'By therapy area'!$A17,'Local HTA submissions'!$C:$C,'By therapy area'!K$4)</f>
        <v>0</v>
      </c>
      <c r="L17" s="70">
        <f>COUNTIFS('Local HTA submissions'!$E:$E,'By therapy area'!$A17,'Local HTA submissions'!$C:$C,'By therapy area'!L$4)</f>
        <v>0</v>
      </c>
      <c r="M17" s="70">
        <f>COUNTIFS('Local HTA submissions'!$E:$E,'By therapy area'!$A17,'Local HTA submissions'!$C:$C,'By therapy area'!M$4)</f>
        <v>0</v>
      </c>
      <c r="N17" s="70">
        <f>COUNTIFS('Local HTA submissions'!$E:$E,'By therapy area'!$A17,'Local HTA submissions'!$C:$C,'By therapy area'!N$4)</f>
        <v>0</v>
      </c>
      <c r="O17" s="70">
        <f>COUNTIFS('Local HTA submissions'!$E:$E,'By therapy area'!$A17,'Local HTA submissions'!$C:$C,'By therapy area'!O$4)</f>
        <v>0</v>
      </c>
      <c r="P17" s="70">
        <f>COUNTIFS('Local HTA submissions'!$E:$E,'By therapy area'!$A17,'Local HTA submissions'!$C:$C,'By therapy area'!P$4)</f>
        <v>0</v>
      </c>
      <c r="Q17" s="70">
        <f t="shared" si="0"/>
        <v>24</v>
      </c>
      <c r="R17" s="75">
        <f t="shared" si="1"/>
        <v>4.3715846994535519E-2</v>
      </c>
    </row>
    <row r="18" spans="1:18">
      <c r="A18" s="73" t="str">
        <f>'Local HTA submissions'!AD15</f>
        <v>Central nervous system</v>
      </c>
      <c r="B18" s="71">
        <f>COUNTIFS('Local HTA submissions'!$E:$E,'By therapy area'!$A18,'Local HTA submissions'!$C:$C,'By therapy area'!B$4)</f>
        <v>0</v>
      </c>
      <c r="C18" s="71">
        <f>COUNTIFS('Local HTA submissions'!$E:$E,'By therapy area'!$A18,'Local HTA submissions'!$C:$C,'By therapy area'!C$4)</f>
        <v>0</v>
      </c>
      <c r="D18" s="71">
        <f>COUNTIFS('Local HTA submissions'!$E:$E,'By therapy area'!$A18,'Local HTA submissions'!$C:$C,'By therapy area'!D$4)</f>
        <v>0</v>
      </c>
      <c r="E18" s="71">
        <f>COUNTIFS('Local HTA submissions'!$E:$E,'By therapy area'!$A18,'Local HTA submissions'!$C:$C,'By therapy area'!E$4)</f>
        <v>1</v>
      </c>
      <c r="F18" s="71">
        <f>COUNTIFS('Local HTA submissions'!$E:$E,'By therapy area'!$A18,'Local HTA submissions'!$C:$C,'By therapy area'!F$4)</f>
        <v>7</v>
      </c>
      <c r="G18" s="71">
        <f>COUNTIFS('Local HTA submissions'!$E:$E,'By therapy area'!$A18,'Local HTA submissions'!$C:$C,'By therapy area'!G$4)</f>
        <v>5</v>
      </c>
      <c r="H18" s="71">
        <f>COUNTIFS('Local HTA submissions'!$E:$E,'By therapy area'!$A18,'Local HTA submissions'!$C:$C,'By therapy area'!H$4)</f>
        <v>3</v>
      </c>
      <c r="I18" s="71">
        <f>COUNTIFS('Local HTA submissions'!$E:$E,'By therapy area'!$A18,'Local HTA submissions'!$C:$C,'By therapy area'!I$4)</f>
        <v>2</v>
      </c>
      <c r="J18" s="71">
        <f>COUNTIFS('Local HTA submissions'!$E:$E,'By therapy area'!$A18,'Local HTA submissions'!$C:$C,'By therapy area'!J$4)</f>
        <v>19</v>
      </c>
      <c r="K18" s="71">
        <f>COUNTIFS('Local HTA submissions'!$E:$E,'By therapy area'!$A18,'Local HTA submissions'!$C:$C,'By therapy area'!K$4)</f>
        <v>0</v>
      </c>
      <c r="L18" s="71">
        <f>COUNTIFS('Local HTA submissions'!$E:$E,'By therapy area'!$A18,'Local HTA submissions'!$C:$C,'By therapy area'!L$4)</f>
        <v>0</v>
      </c>
      <c r="M18" s="71">
        <f>COUNTIFS('Local HTA submissions'!$E:$E,'By therapy area'!$A18,'Local HTA submissions'!$C:$C,'By therapy area'!M$4)</f>
        <v>0</v>
      </c>
      <c r="N18" s="71">
        <f>COUNTIFS('Local HTA submissions'!$E:$E,'By therapy area'!$A18,'Local HTA submissions'!$C:$C,'By therapy area'!N$4)</f>
        <v>0</v>
      </c>
      <c r="O18" s="71">
        <f>COUNTIFS('Local HTA submissions'!$E:$E,'By therapy area'!$A18,'Local HTA submissions'!$C:$C,'By therapy area'!O$4)</f>
        <v>0</v>
      </c>
      <c r="P18" s="71">
        <f>COUNTIFS('Local HTA submissions'!$E:$E,'By therapy area'!$A18,'Local HTA submissions'!$C:$C,'By therapy area'!P$4)</f>
        <v>0</v>
      </c>
      <c r="Q18" s="71">
        <f t="shared" si="0"/>
        <v>37</v>
      </c>
      <c r="R18" s="75">
        <f t="shared" si="1"/>
        <v>6.7395264116575593E-2</v>
      </c>
    </row>
    <row r="19" spans="1:18">
      <c r="A19" s="73" t="str">
        <f>'Local HTA submissions'!AD16</f>
        <v>Mental and behavioural disorders</v>
      </c>
      <c r="B19" s="70">
        <f>COUNTIFS('Local HTA submissions'!$E:$E,'By therapy area'!$A19,'Local HTA submissions'!$C:$C,'By therapy area'!B$4)</f>
        <v>0</v>
      </c>
      <c r="C19" s="70">
        <f>COUNTIFS('Local HTA submissions'!$E:$E,'By therapy area'!$A19,'Local HTA submissions'!$C:$C,'By therapy area'!C$4)</f>
        <v>0</v>
      </c>
      <c r="D19" s="70">
        <f>COUNTIFS('Local HTA submissions'!$E:$E,'By therapy area'!$A19,'Local HTA submissions'!$C:$C,'By therapy area'!D$4)</f>
        <v>0</v>
      </c>
      <c r="E19" s="70">
        <f>COUNTIFS('Local HTA submissions'!$E:$E,'By therapy area'!$A19,'Local HTA submissions'!$C:$C,'By therapy area'!E$4)</f>
        <v>0</v>
      </c>
      <c r="F19" s="70">
        <f>COUNTIFS('Local HTA submissions'!$E:$E,'By therapy area'!$A19,'Local HTA submissions'!$C:$C,'By therapy area'!F$4)</f>
        <v>2</v>
      </c>
      <c r="G19" s="70">
        <f>COUNTIFS('Local HTA submissions'!$E:$E,'By therapy area'!$A19,'Local HTA submissions'!$C:$C,'By therapy area'!G$4)</f>
        <v>0</v>
      </c>
      <c r="H19" s="70">
        <f>COUNTIFS('Local HTA submissions'!$E:$E,'By therapy area'!$A19,'Local HTA submissions'!$C:$C,'By therapy area'!H$4)</f>
        <v>0</v>
      </c>
      <c r="I19" s="70">
        <f>COUNTIFS('Local HTA submissions'!$E:$E,'By therapy area'!$A19,'Local HTA submissions'!$C:$C,'By therapy area'!I$4)</f>
        <v>0</v>
      </c>
      <c r="J19" s="70">
        <f>COUNTIFS('Local HTA submissions'!$E:$E,'By therapy area'!$A19,'Local HTA submissions'!$C:$C,'By therapy area'!J$4)</f>
        <v>0</v>
      </c>
      <c r="K19" s="70">
        <f>COUNTIFS('Local HTA submissions'!$E:$E,'By therapy area'!$A19,'Local HTA submissions'!$C:$C,'By therapy area'!K$4)</f>
        <v>0</v>
      </c>
      <c r="L19" s="70">
        <f>COUNTIFS('Local HTA submissions'!$E:$E,'By therapy area'!$A19,'Local HTA submissions'!$C:$C,'By therapy area'!L$4)</f>
        <v>0</v>
      </c>
      <c r="M19" s="70">
        <f>COUNTIFS('Local HTA submissions'!$E:$E,'By therapy area'!$A19,'Local HTA submissions'!$C:$C,'By therapy area'!M$4)</f>
        <v>0</v>
      </c>
      <c r="N19" s="70">
        <f>COUNTIFS('Local HTA submissions'!$E:$E,'By therapy area'!$A19,'Local HTA submissions'!$C:$C,'By therapy area'!N$4)</f>
        <v>0</v>
      </c>
      <c r="O19" s="70">
        <f>COUNTIFS('Local HTA submissions'!$E:$E,'By therapy area'!$A19,'Local HTA submissions'!$C:$C,'By therapy area'!O$4)</f>
        <v>0</v>
      </c>
      <c r="P19" s="70">
        <f>COUNTIFS('Local HTA submissions'!$E:$E,'By therapy area'!$A19,'Local HTA submissions'!$C:$C,'By therapy area'!P$4)</f>
        <v>0</v>
      </c>
      <c r="Q19" s="70">
        <f t="shared" si="0"/>
        <v>2</v>
      </c>
      <c r="R19" s="75">
        <f t="shared" si="1"/>
        <v>3.6429872495446266E-3</v>
      </c>
    </row>
    <row r="20" spans="1:18">
      <c r="A20" s="73" t="str">
        <f>'Local HTA submissions'!AD17</f>
        <v>Rare Disease</v>
      </c>
      <c r="B20" s="71">
        <f>COUNTIFS('Local HTA submissions'!$E:$E,'By therapy area'!$A20,'Local HTA submissions'!$C:$C,'By therapy area'!B$4)</f>
        <v>0</v>
      </c>
      <c r="C20" s="71">
        <f>COUNTIFS('Local HTA submissions'!$E:$E,'By therapy area'!$A20,'Local HTA submissions'!$C:$C,'By therapy area'!C$4)</f>
        <v>0</v>
      </c>
      <c r="D20" s="71">
        <f>COUNTIFS('Local HTA submissions'!$E:$E,'By therapy area'!$A20,'Local HTA submissions'!$C:$C,'By therapy area'!D$4)</f>
        <v>0</v>
      </c>
      <c r="E20" s="71">
        <f>COUNTIFS('Local HTA submissions'!$E:$E,'By therapy area'!$A20,'Local HTA submissions'!$C:$C,'By therapy area'!E$4)</f>
        <v>0</v>
      </c>
      <c r="F20" s="71">
        <f>COUNTIFS('Local HTA submissions'!$E:$E,'By therapy area'!$A20,'Local HTA submissions'!$C:$C,'By therapy area'!F$4)</f>
        <v>0</v>
      </c>
      <c r="G20" s="71">
        <f>COUNTIFS('Local HTA submissions'!$E:$E,'By therapy area'!$A20,'Local HTA submissions'!$C:$C,'By therapy area'!G$4)</f>
        <v>0</v>
      </c>
      <c r="H20" s="71">
        <f>COUNTIFS('Local HTA submissions'!$E:$E,'By therapy area'!$A20,'Local HTA submissions'!$C:$C,'By therapy area'!H$4)</f>
        <v>0</v>
      </c>
      <c r="I20" s="71">
        <f>COUNTIFS('Local HTA submissions'!$E:$E,'By therapy area'!$A20,'Local HTA submissions'!$C:$C,'By therapy area'!I$4)</f>
        <v>10</v>
      </c>
      <c r="J20" s="71">
        <f>COUNTIFS('Local HTA submissions'!$E:$E,'By therapy area'!$A20,'Local HTA submissions'!$C:$C,'By therapy area'!J$4)</f>
        <v>10</v>
      </c>
      <c r="K20" s="71">
        <f>COUNTIFS('Local HTA submissions'!$E:$E,'By therapy area'!$A20,'Local HTA submissions'!$C:$C,'By therapy area'!K$4)</f>
        <v>0</v>
      </c>
      <c r="L20" s="71">
        <f>COUNTIFS('Local HTA submissions'!$E:$E,'By therapy area'!$A20,'Local HTA submissions'!$C:$C,'By therapy area'!L$4)</f>
        <v>0</v>
      </c>
      <c r="M20" s="71">
        <f>COUNTIFS('Local HTA submissions'!$E:$E,'By therapy area'!$A20,'Local HTA submissions'!$C:$C,'By therapy area'!M$4)</f>
        <v>5</v>
      </c>
      <c r="N20" s="71">
        <f>COUNTIFS('Local HTA submissions'!$E:$E,'By therapy area'!$A20,'Local HTA submissions'!$C:$C,'By therapy area'!N$4)</f>
        <v>0</v>
      </c>
      <c r="O20" s="71">
        <f>COUNTIFS('Local HTA submissions'!$E:$E,'By therapy area'!$A20,'Local HTA submissions'!$C:$C,'By therapy area'!O$4)</f>
        <v>0</v>
      </c>
      <c r="P20" s="71">
        <f>COUNTIFS('Local HTA submissions'!$E:$E,'By therapy area'!$A20,'Local HTA submissions'!$C:$C,'By therapy area'!P$4)</f>
        <v>0</v>
      </c>
      <c r="Q20" s="71">
        <f t="shared" si="0"/>
        <v>25</v>
      </c>
      <c r="R20" s="75">
        <f t="shared" si="1"/>
        <v>4.553734061930783E-2</v>
      </c>
    </row>
    <row r="21" spans="1:18">
      <c r="A21" s="73" t="str">
        <f>'Local HTA submissions'!AD18</f>
        <v>Vaccines</v>
      </c>
      <c r="B21" s="70">
        <f>COUNTIFS('Local HTA submissions'!$E:$E,'By therapy area'!$A21,'Local HTA submissions'!$C:$C,'By therapy area'!B$4)</f>
        <v>0</v>
      </c>
      <c r="C21" s="70">
        <f>COUNTIFS('Local HTA submissions'!$E:$E,'By therapy area'!$A21,'Local HTA submissions'!$C:$C,'By therapy area'!C$4)</f>
        <v>0</v>
      </c>
      <c r="D21" s="70">
        <f>COUNTIFS('Local HTA submissions'!$E:$E,'By therapy area'!$A21,'Local HTA submissions'!$C:$C,'By therapy area'!D$4)</f>
        <v>0</v>
      </c>
      <c r="E21" s="70">
        <f>COUNTIFS('Local HTA submissions'!$E:$E,'By therapy area'!$A21,'Local HTA submissions'!$C:$C,'By therapy area'!E$4)</f>
        <v>0</v>
      </c>
      <c r="F21" s="70">
        <f>COUNTIFS('Local HTA submissions'!$E:$E,'By therapy area'!$A21,'Local HTA submissions'!$C:$C,'By therapy area'!F$4)</f>
        <v>0</v>
      </c>
      <c r="G21" s="70">
        <f>COUNTIFS('Local HTA submissions'!$E:$E,'By therapy area'!$A21,'Local HTA submissions'!$C:$C,'By therapy area'!G$4)</f>
        <v>0</v>
      </c>
      <c r="H21" s="70">
        <f>COUNTIFS('Local HTA submissions'!$E:$E,'By therapy area'!$A21,'Local HTA submissions'!$C:$C,'By therapy area'!H$4)</f>
        <v>0</v>
      </c>
      <c r="I21" s="70">
        <f>COUNTIFS('Local HTA submissions'!$E:$E,'By therapy area'!$A21,'Local HTA submissions'!$C:$C,'By therapy area'!I$4)</f>
        <v>2</v>
      </c>
      <c r="J21" s="70">
        <f>COUNTIFS('Local HTA submissions'!$E:$E,'By therapy area'!$A21,'Local HTA submissions'!$C:$C,'By therapy area'!J$4)</f>
        <v>3</v>
      </c>
      <c r="K21" s="70">
        <f>COUNTIFS('Local HTA submissions'!$E:$E,'By therapy area'!$A21,'Local HTA submissions'!$C:$C,'By therapy area'!K$4)</f>
        <v>0</v>
      </c>
      <c r="L21" s="70">
        <f>COUNTIFS('Local HTA submissions'!$E:$E,'By therapy area'!$A21,'Local HTA submissions'!$C:$C,'By therapy area'!L$4)</f>
        <v>0</v>
      </c>
      <c r="M21" s="70">
        <f>COUNTIFS('Local HTA submissions'!$E:$E,'By therapy area'!$A21,'Local HTA submissions'!$C:$C,'By therapy area'!M$4)</f>
        <v>0</v>
      </c>
      <c r="N21" s="70">
        <f>COUNTIFS('Local HTA submissions'!$E:$E,'By therapy area'!$A21,'Local HTA submissions'!$C:$C,'By therapy area'!N$4)</f>
        <v>0</v>
      </c>
      <c r="O21" s="70">
        <f>COUNTIFS('Local HTA submissions'!$E:$E,'By therapy area'!$A21,'Local HTA submissions'!$C:$C,'By therapy area'!O$4)</f>
        <v>0</v>
      </c>
      <c r="P21" s="70">
        <f>COUNTIFS('Local HTA submissions'!$E:$E,'By therapy area'!$A21,'Local HTA submissions'!$C:$C,'By therapy area'!P$4)</f>
        <v>0</v>
      </c>
      <c r="Q21" s="70">
        <f t="shared" si="0"/>
        <v>5</v>
      </c>
      <c r="R21" s="75">
        <f t="shared" si="1"/>
        <v>9.1074681238615673E-3</v>
      </c>
    </row>
    <row r="22" spans="1:18">
      <c r="A22" s="73" t="str">
        <f>'Local HTA submissions'!AD19</f>
        <v>Urology</v>
      </c>
      <c r="B22" s="71">
        <f>COUNTIFS('Local HTA submissions'!$E:$E,'By therapy area'!$A22,'Local HTA submissions'!$C:$C,'By therapy area'!B$4)</f>
        <v>0</v>
      </c>
      <c r="C22" s="71">
        <f>COUNTIFS('Local HTA submissions'!$E:$E,'By therapy area'!$A22,'Local HTA submissions'!$C:$C,'By therapy area'!C$4)</f>
        <v>0</v>
      </c>
      <c r="D22" s="71">
        <f>COUNTIFS('Local HTA submissions'!$E:$E,'By therapy area'!$A22,'Local HTA submissions'!$C:$C,'By therapy area'!D$4)</f>
        <v>0</v>
      </c>
      <c r="E22" s="71">
        <f>COUNTIFS('Local HTA submissions'!$E:$E,'By therapy area'!$A22,'Local HTA submissions'!$C:$C,'By therapy area'!E$4)</f>
        <v>0</v>
      </c>
      <c r="F22" s="71">
        <f>COUNTIFS('Local HTA submissions'!$E:$E,'By therapy area'!$A22,'Local HTA submissions'!$C:$C,'By therapy area'!F$4)</f>
        <v>0</v>
      </c>
      <c r="G22" s="71">
        <f>COUNTIFS('Local HTA submissions'!$E:$E,'By therapy area'!$A22,'Local HTA submissions'!$C:$C,'By therapy area'!G$4)</f>
        <v>0</v>
      </c>
      <c r="H22" s="71">
        <f>COUNTIFS('Local HTA submissions'!$E:$E,'By therapy area'!$A22,'Local HTA submissions'!$C:$C,'By therapy area'!H$4)</f>
        <v>0</v>
      </c>
      <c r="I22" s="71">
        <f>COUNTIFS('Local HTA submissions'!$E:$E,'By therapy area'!$A22,'Local HTA submissions'!$C:$C,'By therapy area'!I$4)</f>
        <v>0</v>
      </c>
      <c r="J22" s="71">
        <f>COUNTIFS('Local HTA submissions'!$E:$E,'By therapy area'!$A22,'Local HTA submissions'!$C:$C,'By therapy area'!J$4)</f>
        <v>1</v>
      </c>
      <c r="K22" s="71">
        <f>COUNTIFS('Local HTA submissions'!$E:$E,'By therapy area'!$A22,'Local HTA submissions'!$C:$C,'By therapy area'!K$4)</f>
        <v>0</v>
      </c>
      <c r="L22" s="71">
        <f>COUNTIFS('Local HTA submissions'!$E:$E,'By therapy area'!$A22,'Local HTA submissions'!$C:$C,'By therapy area'!L$4)</f>
        <v>0</v>
      </c>
      <c r="M22" s="71">
        <f>COUNTIFS('Local HTA submissions'!$E:$E,'By therapy area'!$A22,'Local HTA submissions'!$C:$C,'By therapy area'!M$4)</f>
        <v>0</v>
      </c>
      <c r="N22" s="71">
        <f>COUNTIFS('Local HTA submissions'!$E:$E,'By therapy area'!$A22,'Local HTA submissions'!$C:$C,'By therapy area'!N$4)</f>
        <v>0</v>
      </c>
      <c r="O22" s="71">
        <f>COUNTIFS('Local HTA submissions'!$E:$E,'By therapy area'!$A22,'Local HTA submissions'!$C:$C,'By therapy area'!O$4)</f>
        <v>0</v>
      </c>
      <c r="P22" s="71">
        <f>COUNTIFS('Local HTA submissions'!$E:$E,'By therapy area'!$A22,'Local HTA submissions'!$C:$C,'By therapy area'!P$4)</f>
        <v>0</v>
      </c>
      <c r="Q22" s="71">
        <f t="shared" si="0"/>
        <v>1</v>
      </c>
      <c r="R22" s="75">
        <f t="shared" si="1"/>
        <v>1.8214936247723133E-3</v>
      </c>
    </row>
    <row r="23" spans="1:18">
      <c r="A23" s="73" t="str">
        <f>'Local HTA submissions'!AD20</f>
        <v>Neurology</v>
      </c>
      <c r="B23" s="70">
        <f>COUNTIFS('Local HTA submissions'!$E:$E,'By therapy area'!$A23,'Local HTA submissions'!$C:$C,'By therapy area'!B$4)</f>
        <v>0</v>
      </c>
      <c r="C23" s="70">
        <f>COUNTIFS('Local HTA submissions'!$E:$E,'By therapy area'!$A23,'Local HTA submissions'!$C:$C,'By therapy area'!C$4)</f>
        <v>0</v>
      </c>
      <c r="D23" s="70">
        <f>COUNTIFS('Local HTA submissions'!$E:$E,'By therapy area'!$A23,'Local HTA submissions'!$C:$C,'By therapy area'!D$4)</f>
        <v>0</v>
      </c>
      <c r="E23" s="70">
        <f>COUNTIFS('Local HTA submissions'!$E:$E,'By therapy area'!$A23,'Local HTA submissions'!$C:$C,'By therapy area'!E$4)</f>
        <v>0</v>
      </c>
      <c r="F23" s="70">
        <f>COUNTIFS('Local HTA submissions'!$E:$E,'By therapy area'!$A23,'Local HTA submissions'!$C:$C,'By therapy area'!F$4)</f>
        <v>0</v>
      </c>
      <c r="G23" s="70">
        <f>COUNTIFS('Local HTA submissions'!$E:$E,'By therapy area'!$A23,'Local HTA submissions'!$C:$C,'By therapy area'!G$4)</f>
        <v>0</v>
      </c>
      <c r="H23" s="70">
        <f>COUNTIFS('Local HTA submissions'!$E:$E,'By therapy area'!$A23,'Local HTA submissions'!$C:$C,'By therapy area'!H$4)</f>
        <v>0</v>
      </c>
      <c r="I23" s="70">
        <f>COUNTIFS('Local HTA submissions'!$E:$E,'By therapy area'!$A23,'Local HTA submissions'!$C:$C,'By therapy area'!I$4)</f>
        <v>0</v>
      </c>
      <c r="J23" s="70">
        <f>COUNTIFS('Local HTA submissions'!$E:$E,'By therapy area'!$A23,'Local HTA submissions'!$C:$C,'By therapy area'!J$4)</f>
        <v>0</v>
      </c>
      <c r="K23" s="70">
        <f>COUNTIFS('Local HTA submissions'!$E:$E,'By therapy area'!$A23,'Local HTA submissions'!$C:$C,'By therapy area'!K$4)</f>
        <v>1</v>
      </c>
      <c r="L23" s="70">
        <f>COUNTIFS('Local HTA submissions'!$E:$E,'By therapy area'!$A23,'Local HTA submissions'!$C:$C,'By therapy area'!L$4)</f>
        <v>2</v>
      </c>
      <c r="M23" s="70">
        <f>COUNTIFS('Local HTA submissions'!$E:$E,'By therapy area'!$A23,'Local HTA submissions'!$C:$C,'By therapy area'!M$4)</f>
        <v>0</v>
      </c>
      <c r="N23" s="70">
        <f>COUNTIFS('Local HTA submissions'!$E:$E,'By therapy area'!$A23,'Local HTA submissions'!$C:$C,'By therapy area'!N$4)</f>
        <v>0</v>
      </c>
      <c r="O23" s="70">
        <f>COUNTIFS('Local HTA submissions'!$E:$E,'By therapy area'!$A23,'Local HTA submissions'!$C:$C,'By therapy area'!O$4)</f>
        <v>0</v>
      </c>
      <c r="P23" s="70">
        <f>COUNTIFS('Local HTA submissions'!$E:$E,'By therapy area'!$A23,'Local HTA submissions'!$C:$C,'By therapy area'!P$4)</f>
        <v>0</v>
      </c>
      <c r="Q23" s="70">
        <f t="shared" si="0"/>
        <v>3</v>
      </c>
      <c r="R23" s="75">
        <f t="shared" si="1"/>
        <v>5.4644808743169399E-3</v>
      </c>
    </row>
    <row r="24" spans="1:18">
      <c r="A24" s="73" t="str">
        <f>'Local HTA submissions'!AD21</f>
        <v>Rheumatology</v>
      </c>
      <c r="B24" s="71">
        <f>COUNTIFS('Local HTA submissions'!$E:$E,'By therapy area'!$A24,'Local HTA submissions'!$C:$C,'By therapy area'!B$4)</f>
        <v>0</v>
      </c>
      <c r="C24" s="71">
        <f>COUNTIFS('Local HTA submissions'!$E:$E,'By therapy area'!$A24,'Local HTA submissions'!$C:$C,'By therapy area'!C$4)</f>
        <v>0</v>
      </c>
      <c r="D24" s="71">
        <f>COUNTIFS('Local HTA submissions'!$E:$E,'By therapy area'!$A24,'Local HTA submissions'!$C:$C,'By therapy area'!D$4)</f>
        <v>0</v>
      </c>
      <c r="E24" s="71">
        <f>COUNTIFS('Local HTA submissions'!$E:$E,'By therapy area'!$A24,'Local HTA submissions'!$C:$C,'By therapy area'!E$4)</f>
        <v>0</v>
      </c>
      <c r="F24" s="71">
        <f>COUNTIFS('Local HTA submissions'!$E:$E,'By therapy area'!$A24,'Local HTA submissions'!$C:$C,'By therapy area'!F$4)</f>
        <v>0</v>
      </c>
      <c r="G24" s="71">
        <f>COUNTIFS('Local HTA submissions'!$E:$E,'By therapy area'!$A24,'Local HTA submissions'!$C:$C,'By therapy area'!G$4)</f>
        <v>0</v>
      </c>
      <c r="H24" s="71">
        <f>COUNTIFS('Local HTA submissions'!$E:$E,'By therapy area'!$A24,'Local HTA submissions'!$C:$C,'By therapy area'!H$4)</f>
        <v>0</v>
      </c>
      <c r="I24" s="71">
        <f>COUNTIFS('Local HTA submissions'!$E:$E,'By therapy area'!$A24,'Local HTA submissions'!$C:$C,'By therapy area'!I$4)</f>
        <v>0</v>
      </c>
      <c r="J24" s="71">
        <f>COUNTIFS('Local HTA submissions'!$E:$E,'By therapy area'!$A24,'Local HTA submissions'!$C:$C,'By therapy area'!J$4)</f>
        <v>0</v>
      </c>
      <c r="K24" s="71">
        <f>COUNTIFS('Local HTA submissions'!$E:$E,'By therapy area'!$A24,'Local HTA submissions'!$C:$C,'By therapy area'!K$4)</f>
        <v>0</v>
      </c>
      <c r="L24" s="71">
        <f>COUNTIFS('Local HTA submissions'!$E:$E,'By therapy area'!$A24,'Local HTA submissions'!$C:$C,'By therapy area'!L$4)</f>
        <v>1</v>
      </c>
      <c r="M24" s="71">
        <f>COUNTIFS('Local HTA submissions'!$E:$E,'By therapy area'!$A24,'Local HTA submissions'!$C:$C,'By therapy area'!M$4)</f>
        <v>0</v>
      </c>
      <c r="N24" s="71">
        <f>COUNTIFS('Local HTA submissions'!$E:$E,'By therapy area'!$A24,'Local HTA submissions'!$C:$C,'By therapy area'!N$4)</f>
        <v>0</v>
      </c>
      <c r="O24" s="71">
        <f>COUNTIFS('Local HTA submissions'!$E:$E,'By therapy area'!$A24,'Local HTA submissions'!$C:$C,'By therapy area'!O$4)</f>
        <v>0</v>
      </c>
      <c r="P24" s="71">
        <f>COUNTIFS('Local HTA submissions'!$E:$E,'By therapy area'!$A24,'Local HTA submissions'!$C:$C,'By therapy area'!P$4)</f>
        <v>0</v>
      </c>
      <c r="Q24" s="71">
        <f t="shared" si="0"/>
        <v>1</v>
      </c>
      <c r="R24" s="75">
        <f t="shared" si="1"/>
        <v>1.8214936247723133E-3</v>
      </c>
    </row>
    <row r="25" spans="1:18">
      <c r="A25" s="73" t="str">
        <f>'Local HTA submissions'!AD22</f>
        <v>Cardiology</v>
      </c>
      <c r="B25" s="70">
        <f>COUNTIFS('Local HTA submissions'!$E:$E,'By therapy area'!$A25,'Local HTA submissions'!$C:$C,'By therapy area'!B$4)</f>
        <v>0</v>
      </c>
      <c r="C25" s="70">
        <f>COUNTIFS('Local HTA submissions'!$E:$E,'By therapy area'!$A25,'Local HTA submissions'!$C:$C,'By therapy area'!C$4)</f>
        <v>0</v>
      </c>
      <c r="D25" s="70">
        <f>COUNTIFS('Local HTA submissions'!$E:$E,'By therapy area'!$A25,'Local HTA submissions'!$C:$C,'By therapy area'!D$4)</f>
        <v>0</v>
      </c>
      <c r="E25" s="70">
        <f>COUNTIFS('Local HTA submissions'!$E:$E,'By therapy area'!$A25,'Local HTA submissions'!$C:$C,'By therapy area'!E$4)</f>
        <v>0</v>
      </c>
      <c r="F25" s="70">
        <f>COUNTIFS('Local HTA submissions'!$E:$E,'By therapy area'!$A25,'Local HTA submissions'!$C:$C,'By therapy area'!F$4)</f>
        <v>0</v>
      </c>
      <c r="G25" s="70">
        <f>COUNTIFS('Local HTA submissions'!$E:$E,'By therapy area'!$A25,'Local HTA submissions'!$C:$C,'By therapy area'!G$4)</f>
        <v>0</v>
      </c>
      <c r="H25" s="70">
        <f>COUNTIFS('Local HTA submissions'!$E:$E,'By therapy area'!$A25,'Local HTA submissions'!$C:$C,'By therapy area'!H$4)</f>
        <v>0</v>
      </c>
      <c r="I25" s="70">
        <f>COUNTIFS('Local HTA submissions'!$E:$E,'By therapy area'!$A25,'Local HTA submissions'!$C:$C,'By therapy area'!I$4)</f>
        <v>0</v>
      </c>
      <c r="J25" s="70">
        <f>COUNTIFS('Local HTA submissions'!$E:$E,'By therapy area'!$A25,'Local HTA submissions'!$C:$C,'By therapy area'!J$4)</f>
        <v>0</v>
      </c>
      <c r="K25" s="70">
        <f>COUNTIFS('Local HTA submissions'!$E:$E,'By therapy area'!$A25,'Local HTA submissions'!$C:$C,'By therapy area'!K$4)</f>
        <v>0</v>
      </c>
      <c r="L25" s="70">
        <f>COUNTIFS('Local HTA submissions'!$E:$E,'By therapy area'!$A25,'Local HTA submissions'!$C:$C,'By therapy area'!L$4)</f>
        <v>3</v>
      </c>
      <c r="M25" s="70">
        <f>COUNTIFS('Local HTA submissions'!$E:$E,'By therapy area'!$A25,'Local HTA submissions'!$C:$C,'By therapy area'!M$4)</f>
        <v>0</v>
      </c>
      <c r="N25" s="70">
        <f>COUNTIFS('Local HTA submissions'!$E:$E,'By therapy area'!$A25,'Local HTA submissions'!$C:$C,'By therapy area'!N$4)</f>
        <v>0</v>
      </c>
      <c r="O25" s="70">
        <f>COUNTIFS('Local HTA submissions'!$E:$E,'By therapy area'!$A25,'Local HTA submissions'!$C:$C,'By therapy area'!O$4)</f>
        <v>0</v>
      </c>
      <c r="P25" s="70">
        <f>COUNTIFS('Local HTA submissions'!$E:$E,'By therapy area'!$A25,'Local HTA submissions'!$C:$C,'By therapy area'!P$4)</f>
        <v>0</v>
      </c>
      <c r="Q25" s="70">
        <f t="shared" si="0"/>
        <v>3</v>
      </c>
      <c r="R25" s="75">
        <f t="shared" si="1"/>
        <v>5.4644808743169399E-3</v>
      </c>
    </row>
    <row r="26" spans="1:18">
      <c r="A26" s="73" t="str">
        <f>'Local HTA submissions'!AD23</f>
        <v>Rare disease/ Ophthalmology</v>
      </c>
      <c r="B26" s="71">
        <f>COUNTIFS('Local HTA submissions'!$E:$E,'By therapy area'!$A26,'Local HTA submissions'!$C:$C,'By therapy area'!B$4)</f>
        <v>0</v>
      </c>
      <c r="C26" s="71">
        <f>COUNTIFS('Local HTA submissions'!$E:$E,'By therapy area'!$A26,'Local HTA submissions'!$C:$C,'By therapy area'!C$4)</f>
        <v>0</v>
      </c>
      <c r="D26" s="71">
        <f>COUNTIFS('Local HTA submissions'!$E:$E,'By therapy area'!$A26,'Local HTA submissions'!$C:$C,'By therapy area'!D$4)</f>
        <v>0</v>
      </c>
      <c r="E26" s="71">
        <f>COUNTIFS('Local HTA submissions'!$E:$E,'By therapy area'!$A26,'Local HTA submissions'!$C:$C,'By therapy area'!E$4)</f>
        <v>0</v>
      </c>
      <c r="F26" s="71">
        <f>COUNTIFS('Local HTA submissions'!$E:$E,'By therapy area'!$A26,'Local HTA submissions'!$C:$C,'By therapy area'!F$4)</f>
        <v>0</v>
      </c>
      <c r="G26" s="71">
        <f>COUNTIFS('Local HTA submissions'!$E:$E,'By therapy area'!$A26,'Local HTA submissions'!$C:$C,'By therapy area'!G$4)</f>
        <v>0</v>
      </c>
      <c r="H26" s="71">
        <f>COUNTIFS('Local HTA submissions'!$E:$E,'By therapy area'!$A26,'Local HTA submissions'!$C:$C,'By therapy area'!H$4)</f>
        <v>0</v>
      </c>
      <c r="I26" s="71">
        <f>COUNTIFS('Local HTA submissions'!$E:$E,'By therapy area'!$A26,'Local HTA submissions'!$C:$C,'By therapy area'!I$4)</f>
        <v>0</v>
      </c>
      <c r="J26" s="71">
        <f>COUNTIFS('Local HTA submissions'!$E:$E,'By therapy area'!$A26,'Local HTA submissions'!$C:$C,'By therapy area'!J$4)</f>
        <v>0</v>
      </c>
      <c r="K26" s="71">
        <f>COUNTIFS('Local HTA submissions'!$E:$E,'By therapy area'!$A26,'Local HTA submissions'!$C:$C,'By therapy area'!K$4)</f>
        <v>0</v>
      </c>
      <c r="L26" s="71">
        <f>COUNTIFS('Local HTA submissions'!$E:$E,'By therapy area'!$A26,'Local HTA submissions'!$C:$C,'By therapy area'!L$4)</f>
        <v>1</v>
      </c>
      <c r="M26" s="71">
        <f>COUNTIFS('Local HTA submissions'!$E:$E,'By therapy area'!$A26,'Local HTA submissions'!$C:$C,'By therapy area'!M$4)</f>
        <v>0</v>
      </c>
      <c r="N26" s="71">
        <f>COUNTIFS('Local HTA submissions'!$E:$E,'By therapy area'!$A26,'Local HTA submissions'!$C:$C,'By therapy area'!N$4)</f>
        <v>0</v>
      </c>
      <c r="O26" s="71">
        <f>COUNTIFS('Local HTA submissions'!$E:$E,'By therapy area'!$A26,'Local HTA submissions'!$C:$C,'By therapy area'!O$4)</f>
        <v>0</v>
      </c>
      <c r="P26" s="71">
        <f>COUNTIFS('Local HTA submissions'!$E:$E,'By therapy area'!$A26,'Local HTA submissions'!$C:$C,'By therapy area'!P$4)</f>
        <v>0</v>
      </c>
      <c r="Q26" s="71">
        <f t="shared" si="0"/>
        <v>1</v>
      </c>
      <c r="R26" s="75">
        <f t="shared" si="1"/>
        <v>1.8214936247723133E-3</v>
      </c>
    </row>
    <row r="27" spans="1:18">
      <c r="A27" s="73" t="str">
        <f>'Local HTA submissions'!AD24</f>
        <v>Rare disease/ Rheumatology</v>
      </c>
      <c r="B27" s="70">
        <f>COUNTIFS('Local HTA submissions'!$E:$E,'By therapy area'!$A27,'Local HTA submissions'!$C:$C,'By therapy area'!B$4)</f>
        <v>0</v>
      </c>
      <c r="C27" s="70">
        <f>COUNTIFS('Local HTA submissions'!$E:$E,'By therapy area'!$A27,'Local HTA submissions'!$C:$C,'By therapy area'!C$4)</f>
        <v>0</v>
      </c>
      <c r="D27" s="70">
        <f>COUNTIFS('Local HTA submissions'!$E:$E,'By therapy area'!$A27,'Local HTA submissions'!$C:$C,'By therapy area'!D$4)</f>
        <v>0</v>
      </c>
      <c r="E27" s="70">
        <f>COUNTIFS('Local HTA submissions'!$E:$E,'By therapy area'!$A27,'Local HTA submissions'!$C:$C,'By therapy area'!E$4)</f>
        <v>0</v>
      </c>
      <c r="F27" s="70">
        <f>COUNTIFS('Local HTA submissions'!$E:$E,'By therapy area'!$A27,'Local HTA submissions'!$C:$C,'By therapy area'!F$4)</f>
        <v>0</v>
      </c>
      <c r="G27" s="70">
        <f>COUNTIFS('Local HTA submissions'!$E:$E,'By therapy area'!$A27,'Local HTA submissions'!$C:$C,'By therapy area'!G$4)</f>
        <v>0</v>
      </c>
      <c r="H27" s="70">
        <f>COUNTIFS('Local HTA submissions'!$E:$E,'By therapy area'!$A27,'Local HTA submissions'!$C:$C,'By therapy area'!H$4)</f>
        <v>0</v>
      </c>
      <c r="I27" s="70">
        <f>COUNTIFS('Local HTA submissions'!$E:$E,'By therapy area'!$A27,'Local HTA submissions'!$C:$C,'By therapy area'!I$4)</f>
        <v>0</v>
      </c>
      <c r="J27" s="70">
        <f>COUNTIFS('Local HTA submissions'!$E:$E,'By therapy area'!$A27,'Local HTA submissions'!$C:$C,'By therapy area'!J$4)</f>
        <v>0</v>
      </c>
      <c r="K27" s="70">
        <f>COUNTIFS('Local HTA submissions'!$E:$E,'By therapy area'!$A27,'Local HTA submissions'!$C:$C,'By therapy area'!K$4)</f>
        <v>0</v>
      </c>
      <c r="L27" s="70">
        <f>COUNTIFS('Local HTA submissions'!$E:$E,'By therapy area'!$A27,'Local HTA submissions'!$C:$C,'By therapy area'!L$4)</f>
        <v>1</v>
      </c>
      <c r="M27" s="70">
        <f>COUNTIFS('Local HTA submissions'!$E:$E,'By therapy area'!$A27,'Local HTA submissions'!$C:$C,'By therapy area'!M$4)</f>
        <v>0</v>
      </c>
      <c r="N27" s="70">
        <f>COUNTIFS('Local HTA submissions'!$E:$E,'By therapy area'!$A27,'Local HTA submissions'!$C:$C,'By therapy area'!N$4)</f>
        <v>0</v>
      </c>
      <c r="O27" s="70">
        <f>COUNTIFS('Local HTA submissions'!$E:$E,'By therapy area'!$A27,'Local HTA submissions'!$C:$C,'By therapy area'!O$4)</f>
        <v>0</v>
      </c>
      <c r="P27" s="70">
        <f>COUNTIFS('Local HTA submissions'!$E:$E,'By therapy area'!$A27,'Local HTA submissions'!$C:$C,'By therapy area'!P$4)</f>
        <v>0</v>
      </c>
      <c r="Q27" s="70">
        <f t="shared" si="0"/>
        <v>1</v>
      </c>
      <c r="R27" s="75">
        <f t="shared" si="1"/>
        <v>1.8214936247723133E-3</v>
      </c>
    </row>
    <row r="28" spans="1:18">
      <c r="A28" s="73" t="str">
        <f>'Local HTA submissions'!AD25</f>
        <v>Dermatology/ Rheumatology</v>
      </c>
      <c r="B28" s="71">
        <f>COUNTIFS('Local HTA submissions'!$E:$E,'By therapy area'!$A28,'Local HTA submissions'!$C:$C,'By therapy area'!B$4)</f>
        <v>0</v>
      </c>
      <c r="C28" s="71">
        <f>COUNTIFS('Local HTA submissions'!$E:$E,'By therapy area'!$A28,'Local HTA submissions'!$C:$C,'By therapy area'!C$4)</f>
        <v>0</v>
      </c>
      <c r="D28" s="71">
        <f>COUNTIFS('Local HTA submissions'!$E:$E,'By therapy area'!$A28,'Local HTA submissions'!$C:$C,'By therapy area'!D$4)</f>
        <v>0</v>
      </c>
      <c r="E28" s="71">
        <f>COUNTIFS('Local HTA submissions'!$E:$E,'By therapy area'!$A28,'Local HTA submissions'!$C:$C,'By therapy area'!E$4)</f>
        <v>0</v>
      </c>
      <c r="F28" s="71">
        <f>COUNTIFS('Local HTA submissions'!$E:$E,'By therapy area'!$A28,'Local HTA submissions'!$C:$C,'By therapy area'!F$4)</f>
        <v>0</v>
      </c>
      <c r="G28" s="71">
        <f>COUNTIFS('Local HTA submissions'!$E:$E,'By therapy area'!$A28,'Local HTA submissions'!$C:$C,'By therapy area'!G$4)</f>
        <v>0</v>
      </c>
      <c r="H28" s="71">
        <f>COUNTIFS('Local HTA submissions'!$E:$E,'By therapy area'!$A28,'Local HTA submissions'!$C:$C,'By therapy area'!H$4)</f>
        <v>0</v>
      </c>
      <c r="I28" s="71">
        <f>COUNTIFS('Local HTA submissions'!$E:$E,'By therapy area'!$A28,'Local HTA submissions'!$C:$C,'By therapy area'!I$4)</f>
        <v>0</v>
      </c>
      <c r="J28" s="71">
        <f>COUNTIFS('Local HTA submissions'!$E:$E,'By therapy area'!$A28,'Local HTA submissions'!$C:$C,'By therapy area'!J$4)</f>
        <v>0</v>
      </c>
      <c r="K28" s="71">
        <f>COUNTIFS('Local HTA submissions'!$E:$E,'By therapy area'!$A28,'Local HTA submissions'!$C:$C,'By therapy area'!K$4)</f>
        <v>0</v>
      </c>
      <c r="L28" s="71">
        <f>COUNTIFS('Local HTA submissions'!$E:$E,'By therapy area'!$A28,'Local HTA submissions'!$C:$C,'By therapy area'!L$4)</f>
        <v>1</v>
      </c>
      <c r="M28" s="71">
        <f>COUNTIFS('Local HTA submissions'!$E:$E,'By therapy area'!$A28,'Local HTA submissions'!$C:$C,'By therapy area'!M$4)</f>
        <v>0</v>
      </c>
      <c r="N28" s="71">
        <f>COUNTIFS('Local HTA submissions'!$E:$E,'By therapy area'!$A28,'Local HTA submissions'!$C:$C,'By therapy area'!N$4)</f>
        <v>0</v>
      </c>
      <c r="O28" s="71">
        <f>COUNTIFS('Local HTA submissions'!$E:$E,'By therapy area'!$A28,'Local HTA submissions'!$C:$C,'By therapy area'!O$4)</f>
        <v>0</v>
      </c>
      <c r="P28" s="71">
        <f>COUNTIFS('Local HTA submissions'!$E:$E,'By therapy area'!$A28,'Local HTA submissions'!$C:$C,'By therapy area'!P$4)</f>
        <v>0</v>
      </c>
      <c r="Q28" s="71">
        <f t="shared" si="0"/>
        <v>1</v>
      </c>
      <c r="R28" s="75">
        <f t="shared" si="1"/>
        <v>1.8214936247723133E-3</v>
      </c>
    </row>
    <row r="29" spans="1:18">
      <c r="A29" s="73" t="str">
        <f>'Local HTA submissions'!AD26</f>
        <v>Hematology</v>
      </c>
      <c r="B29" s="70">
        <f>COUNTIFS('Local HTA submissions'!$E:$E,'By therapy area'!$A29,'Local HTA submissions'!$C:$C,'By therapy area'!B$4)</f>
        <v>0</v>
      </c>
      <c r="C29" s="70">
        <f>COUNTIFS('Local HTA submissions'!$E:$E,'By therapy area'!$A29,'Local HTA submissions'!$C:$C,'By therapy area'!C$4)</f>
        <v>0</v>
      </c>
      <c r="D29" s="70">
        <f>COUNTIFS('Local HTA submissions'!$E:$E,'By therapy area'!$A29,'Local HTA submissions'!$C:$C,'By therapy area'!D$4)</f>
        <v>0</v>
      </c>
      <c r="E29" s="70">
        <f>COUNTIFS('Local HTA submissions'!$E:$E,'By therapy area'!$A29,'Local HTA submissions'!$C:$C,'By therapy area'!E$4)</f>
        <v>0</v>
      </c>
      <c r="F29" s="70">
        <f>COUNTIFS('Local HTA submissions'!$E:$E,'By therapy area'!$A29,'Local HTA submissions'!$C:$C,'By therapy area'!F$4)</f>
        <v>0</v>
      </c>
      <c r="G29" s="70">
        <f>COUNTIFS('Local HTA submissions'!$E:$E,'By therapy area'!$A29,'Local HTA submissions'!$C:$C,'By therapy area'!G$4)</f>
        <v>0</v>
      </c>
      <c r="H29" s="70">
        <f>COUNTIFS('Local HTA submissions'!$E:$E,'By therapy area'!$A29,'Local HTA submissions'!$C:$C,'By therapy area'!H$4)</f>
        <v>0</v>
      </c>
      <c r="I29" s="70">
        <f>COUNTIFS('Local HTA submissions'!$E:$E,'By therapy area'!$A29,'Local HTA submissions'!$C:$C,'By therapy area'!I$4)</f>
        <v>0</v>
      </c>
      <c r="J29" s="70">
        <f>COUNTIFS('Local HTA submissions'!$E:$E,'By therapy area'!$A29,'Local HTA submissions'!$C:$C,'By therapy area'!J$4)</f>
        <v>0</v>
      </c>
      <c r="K29" s="70">
        <f>COUNTIFS('Local HTA submissions'!$E:$E,'By therapy area'!$A29,'Local HTA submissions'!$C:$C,'By therapy area'!K$4)</f>
        <v>0</v>
      </c>
      <c r="L29" s="70">
        <f>COUNTIFS('Local HTA submissions'!$E:$E,'By therapy area'!$A29,'Local HTA submissions'!$C:$C,'By therapy area'!L$4)</f>
        <v>1</v>
      </c>
      <c r="M29" s="70">
        <f>COUNTIFS('Local HTA submissions'!$E:$E,'By therapy area'!$A29,'Local HTA submissions'!$C:$C,'By therapy area'!M$4)</f>
        <v>1</v>
      </c>
      <c r="N29" s="70">
        <f>COUNTIFS('Local HTA submissions'!$E:$E,'By therapy area'!$A29,'Local HTA submissions'!$C:$C,'By therapy area'!N$4)</f>
        <v>0</v>
      </c>
      <c r="O29" s="70">
        <f>COUNTIFS('Local HTA submissions'!$E:$E,'By therapy area'!$A29,'Local HTA submissions'!$C:$C,'By therapy area'!O$4)</f>
        <v>0</v>
      </c>
      <c r="P29" s="70">
        <f>COUNTIFS('Local HTA submissions'!$E:$E,'By therapy area'!$A29,'Local HTA submissions'!$C:$C,'By therapy area'!P$4)</f>
        <v>0</v>
      </c>
      <c r="Q29" s="70">
        <f t="shared" si="0"/>
        <v>2</v>
      </c>
      <c r="R29" s="75">
        <f t="shared" si="1"/>
        <v>3.6429872495446266E-3</v>
      </c>
    </row>
    <row r="30" spans="1:18">
      <c r="A30" s="73" t="str">
        <f>'Local HTA submissions'!AD27</f>
        <v>Medical device</v>
      </c>
      <c r="B30" s="71">
        <f>COUNTIFS('Local HTA submissions'!$E:$E,'By therapy area'!$A30,'Local HTA submissions'!$C:$C,'By therapy area'!B$4)</f>
        <v>0</v>
      </c>
      <c r="C30" s="71">
        <f>COUNTIFS('Local HTA submissions'!$E:$E,'By therapy area'!$A30,'Local HTA submissions'!$C:$C,'By therapy area'!C$4)</f>
        <v>0</v>
      </c>
      <c r="D30" s="71">
        <f>COUNTIFS('Local HTA submissions'!$E:$E,'By therapy area'!$A30,'Local HTA submissions'!$C:$C,'By therapy area'!D$4)</f>
        <v>0</v>
      </c>
      <c r="E30" s="71">
        <f>COUNTIFS('Local HTA submissions'!$E:$E,'By therapy area'!$A30,'Local HTA submissions'!$C:$C,'By therapy area'!E$4)</f>
        <v>0</v>
      </c>
      <c r="F30" s="71">
        <f>COUNTIFS('Local HTA submissions'!$E:$E,'By therapy area'!$A30,'Local HTA submissions'!$C:$C,'By therapy area'!F$4)</f>
        <v>0</v>
      </c>
      <c r="G30" s="71">
        <f>COUNTIFS('Local HTA submissions'!$E:$E,'By therapy area'!$A30,'Local HTA submissions'!$C:$C,'By therapy area'!G$4)</f>
        <v>0</v>
      </c>
      <c r="H30" s="71">
        <f>COUNTIFS('Local HTA submissions'!$E:$E,'By therapy area'!$A30,'Local HTA submissions'!$C:$C,'By therapy area'!H$4)</f>
        <v>0</v>
      </c>
      <c r="I30" s="71">
        <f>COUNTIFS('Local HTA submissions'!$E:$E,'By therapy area'!$A30,'Local HTA submissions'!$C:$C,'By therapy area'!I$4)</f>
        <v>0</v>
      </c>
      <c r="J30" s="71">
        <f>COUNTIFS('Local HTA submissions'!$E:$E,'By therapy area'!$A30,'Local HTA submissions'!$C:$C,'By therapy area'!J$4)</f>
        <v>0</v>
      </c>
      <c r="K30" s="71">
        <f>COUNTIFS('Local HTA submissions'!$E:$E,'By therapy area'!$A30,'Local HTA submissions'!$C:$C,'By therapy area'!K$4)</f>
        <v>0</v>
      </c>
      <c r="L30" s="71">
        <f>COUNTIFS('Local HTA submissions'!$E:$E,'By therapy area'!$A30,'Local HTA submissions'!$C:$C,'By therapy area'!L$4)</f>
        <v>1</v>
      </c>
      <c r="M30" s="71">
        <f>COUNTIFS('Local HTA submissions'!$E:$E,'By therapy area'!$A30,'Local HTA submissions'!$C:$C,'By therapy area'!M$4)</f>
        <v>0</v>
      </c>
      <c r="N30" s="71">
        <f>COUNTIFS('Local HTA submissions'!$E:$E,'By therapy area'!$A30,'Local HTA submissions'!$C:$C,'By therapy area'!N$4)</f>
        <v>0</v>
      </c>
      <c r="O30" s="71">
        <f>COUNTIFS('Local HTA submissions'!$E:$E,'By therapy area'!$A30,'Local HTA submissions'!$C:$C,'By therapy area'!O$4)</f>
        <v>0</v>
      </c>
      <c r="P30" s="71">
        <f>COUNTIFS('Local HTA submissions'!$E:$E,'By therapy area'!$A30,'Local HTA submissions'!$C:$C,'By therapy area'!P$4)</f>
        <v>0</v>
      </c>
      <c r="Q30" s="71">
        <f t="shared" si="0"/>
        <v>1</v>
      </c>
      <c r="R30" s="75">
        <f t="shared" si="1"/>
        <v>1.8214936247723133E-3</v>
      </c>
    </row>
    <row r="31" spans="1:18">
      <c r="A31" s="73" t="str">
        <f>'Local HTA submissions'!AD28</f>
        <v>Surgical operation</v>
      </c>
      <c r="B31" s="70">
        <f>COUNTIFS('Local HTA submissions'!$E:$E,'By therapy area'!$A31,'Local HTA submissions'!$C:$C,'By therapy area'!B$4)</f>
        <v>0</v>
      </c>
      <c r="C31" s="70">
        <f>COUNTIFS('Local HTA submissions'!$E:$E,'By therapy area'!$A31,'Local HTA submissions'!$C:$C,'By therapy area'!C$4)</f>
        <v>0</v>
      </c>
      <c r="D31" s="70">
        <f>COUNTIFS('Local HTA submissions'!$E:$E,'By therapy area'!$A31,'Local HTA submissions'!$C:$C,'By therapy area'!D$4)</f>
        <v>0</v>
      </c>
      <c r="E31" s="70">
        <f>COUNTIFS('Local HTA submissions'!$E:$E,'By therapy area'!$A31,'Local HTA submissions'!$C:$C,'By therapy area'!E$4)</f>
        <v>0</v>
      </c>
      <c r="F31" s="70">
        <f>COUNTIFS('Local HTA submissions'!$E:$E,'By therapy area'!$A31,'Local HTA submissions'!$C:$C,'By therapy area'!F$4)</f>
        <v>0</v>
      </c>
      <c r="G31" s="70">
        <f>COUNTIFS('Local HTA submissions'!$E:$E,'By therapy area'!$A31,'Local HTA submissions'!$C:$C,'By therapy area'!G$4)</f>
        <v>0</v>
      </c>
      <c r="H31" s="70">
        <f>COUNTIFS('Local HTA submissions'!$E:$E,'By therapy area'!$A31,'Local HTA submissions'!$C:$C,'By therapy area'!H$4)</f>
        <v>0</v>
      </c>
      <c r="I31" s="70">
        <f>COUNTIFS('Local HTA submissions'!$E:$E,'By therapy area'!$A31,'Local HTA submissions'!$C:$C,'By therapy area'!I$4)</f>
        <v>0</v>
      </c>
      <c r="J31" s="70">
        <f>COUNTIFS('Local HTA submissions'!$E:$E,'By therapy area'!$A31,'Local HTA submissions'!$C:$C,'By therapy area'!J$4)</f>
        <v>0</v>
      </c>
      <c r="K31" s="70">
        <f>COUNTIFS('Local HTA submissions'!$E:$E,'By therapy area'!$A31,'Local HTA submissions'!$C:$C,'By therapy area'!K$4)</f>
        <v>0</v>
      </c>
      <c r="L31" s="70">
        <f>COUNTIFS('Local HTA submissions'!$E:$E,'By therapy area'!$A31,'Local HTA submissions'!$C:$C,'By therapy area'!L$4)</f>
        <v>1</v>
      </c>
      <c r="M31" s="70">
        <f>COUNTIFS('Local HTA submissions'!$E:$E,'By therapy area'!$A31,'Local HTA submissions'!$C:$C,'By therapy area'!M$4)</f>
        <v>0</v>
      </c>
      <c r="N31" s="70">
        <f>COUNTIFS('Local HTA submissions'!$E:$E,'By therapy area'!$A31,'Local HTA submissions'!$C:$C,'By therapy area'!N$4)</f>
        <v>0</v>
      </c>
      <c r="O31" s="70">
        <f>COUNTIFS('Local HTA submissions'!$E:$E,'By therapy area'!$A31,'Local HTA submissions'!$C:$C,'By therapy area'!O$4)</f>
        <v>0</v>
      </c>
      <c r="P31" s="70">
        <f>COUNTIFS('Local HTA submissions'!$E:$E,'By therapy area'!$A31,'Local HTA submissions'!$C:$C,'By therapy area'!P$4)</f>
        <v>0</v>
      </c>
      <c r="Q31" s="70">
        <f t="shared" si="0"/>
        <v>1</v>
      </c>
      <c r="R31" s="75">
        <f t="shared" si="1"/>
        <v>1.8214936247723133E-3</v>
      </c>
    </row>
    <row r="32" spans="1:18">
      <c r="A32" s="73" t="str">
        <f>'Local HTA submissions'!AD29</f>
        <v>Psychiatry</v>
      </c>
      <c r="B32" s="71">
        <f>COUNTIFS('Local HTA submissions'!$E:$E,'By therapy area'!$A32,'Local HTA submissions'!$C:$C,'By therapy area'!B$4)</f>
        <v>0</v>
      </c>
      <c r="C32" s="71">
        <f>COUNTIFS('Local HTA submissions'!$E:$E,'By therapy area'!$A32,'Local HTA submissions'!$C:$C,'By therapy area'!C$4)</f>
        <v>0</v>
      </c>
      <c r="D32" s="71">
        <f>COUNTIFS('Local HTA submissions'!$E:$E,'By therapy area'!$A32,'Local HTA submissions'!$C:$C,'By therapy area'!D$4)</f>
        <v>0</v>
      </c>
      <c r="E32" s="71">
        <f>COUNTIFS('Local HTA submissions'!$E:$E,'By therapy area'!$A32,'Local HTA submissions'!$C:$C,'By therapy area'!E$4)</f>
        <v>0</v>
      </c>
      <c r="F32" s="71">
        <f>COUNTIFS('Local HTA submissions'!$E:$E,'By therapy area'!$A32,'Local HTA submissions'!$C:$C,'By therapy area'!F$4)</f>
        <v>0</v>
      </c>
      <c r="G32" s="71">
        <f>COUNTIFS('Local HTA submissions'!$E:$E,'By therapy area'!$A32,'Local HTA submissions'!$C:$C,'By therapy area'!G$4)</f>
        <v>0</v>
      </c>
      <c r="H32" s="71">
        <f>COUNTIFS('Local HTA submissions'!$E:$E,'By therapy area'!$A32,'Local HTA submissions'!$C:$C,'By therapy area'!H$4)</f>
        <v>0</v>
      </c>
      <c r="I32" s="71">
        <f>COUNTIFS('Local HTA submissions'!$E:$E,'By therapy area'!$A32,'Local HTA submissions'!$C:$C,'By therapy area'!I$4)</f>
        <v>0</v>
      </c>
      <c r="J32" s="71">
        <f>COUNTIFS('Local HTA submissions'!$E:$E,'By therapy area'!$A32,'Local HTA submissions'!$C:$C,'By therapy area'!J$4)</f>
        <v>0</v>
      </c>
      <c r="K32" s="71">
        <f>COUNTIFS('Local HTA submissions'!$E:$E,'By therapy area'!$A32,'Local HTA submissions'!$C:$C,'By therapy area'!K$4)</f>
        <v>0</v>
      </c>
      <c r="L32" s="71">
        <f>COUNTIFS('Local HTA submissions'!$E:$E,'By therapy area'!$A32,'Local HTA submissions'!$C:$C,'By therapy area'!L$4)</f>
        <v>0</v>
      </c>
      <c r="M32" s="71">
        <f>COUNTIFS('Local HTA submissions'!$E:$E,'By therapy area'!$A32,'Local HTA submissions'!$C:$C,'By therapy area'!M$4)</f>
        <v>1</v>
      </c>
      <c r="N32" s="71">
        <f>COUNTIFS('Local HTA submissions'!$E:$E,'By therapy area'!$A32,'Local HTA submissions'!$C:$C,'By therapy area'!N$4)</f>
        <v>0</v>
      </c>
      <c r="O32" s="71">
        <f>COUNTIFS('Local HTA submissions'!$E:$E,'By therapy area'!$A32,'Local HTA submissions'!$C:$C,'By therapy area'!O$4)</f>
        <v>0</v>
      </c>
      <c r="P32" s="71">
        <f>COUNTIFS('Local HTA submissions'!$E:$E,'By therapy area'!$A32,'Local HTA submissions'!$C:$C,'By therapy area'!P$4)</f>
        <v>0</v>
      </c>
      <c r="Q32" s="71">
        <f t="shared" si="0"/>
        <v>1</v>
      </c>
      <c r="R32" s="75">
        <f t="shared" si="1"/>
        <v>1.8214936247723133E-3</v>
      </c>
    </row>
    <row r="33" spans="1:18">
      <c r="A33" s="73" t="str">
        <f>'Local HTA submissions'!AD30</f>
        <v>Haemato-oncology</v>
      </c>
      <c r="B33" s="70">
        <f>COUNTIFS('Local HTA submissions'!$E:$E,'By therapy area'!$A33,'Local HTA submissions'!$C:$C,'By therapy area'!B$4)</f>
        <v>0</v>
      </c>
      <c r="C33" s="70">
        <f>COUNTIFS('Local HTA submissions'!$E:$E,'By therapy area'!$A33,'Local HTA submissions'!$C:$C,'By therapy area'!C$4)</f>
        <v>0</v>
      </c>
      <c r="D33" s="70">
        <f>COUNTIFS('Local HTA submissions'!$E:$E,'By therapy area'!$A33,'Local HTA submissions'!$C:$C,'By therapy area'!D$4)</f>
        <v>0</v>
      </c>
      <c r="E33" s="70">
        <f>COUNTIFS('Local HTA submissions'!$E:$E,'By therapy area'!$A33,'Local HTA submissions'!$C:$C,'By therapy area'!E$4)</f>
        <v>0</v>
      </c>
      <c r="F33" s="70">
        <f>COUNTIFS('Local HTA submissions'!$E:$E,'By therapy area'!$A33,'Local HTA submissions'!$C:$C,'By therapy area'!F$4)</f>
        <v>0</v>
      </c>
      <c r="G33" s="70">
        <f>COUNTIFS('Local HTA submissions'!$E:$E,'By therapy area'!$A33,'Local HTA submissions'!$C:$C,'By therapy area'!G$4)</f>
        <v>0</v>
      </c>
      <c r="H33" s="70">
        <f>COUNTIFS('Local HTA submissions'!$E:$E,'By therapy area'!$A33,'Local HTA submissions'!$C:$C,'By therapy area'!H$4)</f>
        <v>0</v>
      </c>
      <c r="I33" s="70">
        <f>COUNTIFS('Local HTA submissions'!$E:$E,'By therapy area'!$A33,'Local HTA submissions'!$C:$C,'By therapy area'!I$4)</f>
        <v>0</v>
      </c>
      <c r="J33" s="70">
        <f>COUNTIFS('Local HTA submissions'!$E:$E,'By therapy area'!$A33,'Local HTA submissions'!$C:$C,'By therapy area'!J$4)</f>
        <v>0</v>
      </c>
      <c r="K33" s="70">
        <f>COUNTIFS('Local HTA submissions'!$E:$E,'By therapy area'!$A33,'Local HTA submissions'!$C:$C,'By therapy area'!K$4)</f>
        <v>0</v>
      </c>
      <c r="L33" s="70">
        <f>COUNTIFS('Local HTA submissions'!$E:$E,'By therapy area'!$A33,'Local HTA submissions'!$C:$C,'By therapy area'!L$4)</f>
        <v>0</v>
      </c>
      <c r="M33" s="70">
        <f>COUNTIFS('Local HTA submissions'!$E:$E,'By therapy area'!$A33,'Local HTA submissions'!$C:$C,'By therapy area'!M$4)</f>
        <v>3</v>
      </c>
      <c r="N33" s="70">
        <f>COUNTIFS('Local HTA submissions'!$E:$E,'By therapy area'!$A33,'Local HTA submissions'!$C:$C,'By therapy area'!N$4)</f>
        <v>0</v>
      </c>
      <c r="O33" s="70">
        <f>COUNTIFS('Local HTA submissions'!$E:$E,'By therapy area'!$A33,'Local HTA submissions'!$C:$C,'By therapy area'!O$4)</f>
        <v>0</v>
      </c>
      <c r="P33" s="70">
        <f>COUNTIFS('Local HTA submissions'!$E:$E,'By therapy area'!$A33,'Local HTA submissions'!$C:$C,'By therapy area'!P$4)</f>
        <v>0</v>
      </c>
      <c r="Q33" s="70">
        <f t="shared" si="0"/>
        <v>3</v>
      </c>
      <c r="R33" s="75">
        <f t="shared" si="1"/>
        <v>5.4644808743169399E-3</v>
      </c>
    </row>
    <row r="34" spans="1:18" hidden="1">
      <c r="A34" s="73">
        <f>'Local HTA submissions'!AD31</f>
        <v>0</v>
      </c>
      <c r="B34" s="71">
        <f>COUNTIFS('Local HTA submissions'!$E:$E,'By therapy area'!$A34,'Local HTA submissions'!$C:$C,'By therapy area'!B$4)</f>
        <v>0</v>
      </c>
      <c r="C34" s="71">
        <f>COUNTIFS('Local HTA submissions'!$E:$E,'By therapy area'!$A34,'Local HTA submissions'!$C:$C,'By therapy area'!C$4)</f>
        <v>0</v>
      </c>
      <c r="D34" s="71">
        <f>COUNTIFS('Local HTA submissions'!$E:$E,'By therapy area'!$A34,'Local HTA submissions'!$C:$C,'By therapy area'!D$4)</f>
        <v>0</v>
      </c>
      <c r="E34" s="71">
        <f>COUNTIFS('Local HTA submissions'!$E:$E,'By therapy area'!$A34,'Local HTA submissions'!$C:$C,'By therapy area'!E$4)</f>
        <v>0</v>
      </c>
      <c r="F34" s="71">
        <f>COUNTIFS('Local HTA submissions'!$E:$E,'By therapy area'!$A34,'Local HTA submissions'!$C:$C,'By therapy area'!F$4)</f>
        <v>0</v>
      </c>
      <c r="G34" s="71">
        <f>COUNTIFS('Local HTA submissions'!$E:$E,'By therapy area'!$A34,'Local HTA submissions'!$C:$C,'By therapy area'!G$4)</f>
        <v>0</v>
      </c>
      <c r="H34" s="71">
        <f>COUNTIFS('Local HTA submissions'!$E:$E,'By therapy area'!$A34,'Local HTA submissions'!$C:$C,'By therapy area'!H$4)</f>
        <v>0</v>
      </c>
      <c r="I34" s="71">
        <f>COUNTIFS('Local HTA submissions'!$E:$E,'By therapy area'!$A34,'Local HTA submissions'!$C:$C,'By therapy area'!I$4)</f>
        <v>0</v>
      </c>
      <c r="J34" s="71">
        <f>COUNTIFS('Local HTA submissions'!$E:$E,'By therapy area'!$A34,'Local HTA submissions'!$C:$C,'By therapy area'!J$4)</f>
        <v>0</v>
      </c>
      <c r="K34" s="71">
        <f>COUNTIFS('Local HTA submissions'!$E:$E,'By therapy area'!$A34,'Local HTA submissions'!$C:$C,'By therapy area'!K$4)</f>
        <v>0</v>
      </c>
      <c r="L34" s="71">
        <f>COUNTIFS('Local HTA submissions'!$E:$E,'By therapy area'!$A34,'Local HTA submissions'!$C:$C,'By therapy area'!L$4)</f>
        <v>0</v>
      </c>
      <c r="M34" s="71">
        <f>COUNTIFS('Local HTA submissions'!$E:$E,'By therapy area'!$A34,'Local HTA submissions'!$C:$C,'By therapy area'!M$4)</f>
        <v>0</v>
      </c>
      <c r="N34" s="71">
        <f>COUNTIFS('Local HTA submissions'!$E:$E,'By therapy area'!$A34,'Local HTA submissions'!$C:$C,'By therapy area'!N$4)</f>
        <v>0</v>
      </c>
      <c r="O34" s="71">
        <f>COUNTIFS('Local HTA submissions'!$E:$E,'By therapy area'!$A34,'Local HTA submissions'!$C:$C,'By therapy area'!O$4)</f>
        <v>0</v>
      </c>
      <c r="P34" s="71">
        <f>COUNTIFS('Local HTA submissions'!$E:$E,'By therapy area'!$A34,'Local HTA submissions'!$C:$C,'By therapy area'!P$4)</f>
        <v>0</v>
      </c>
      <c r="Q34" s="71">
        <f t="shared" si="0"/>
        <v>0</v>
      </c>
      <c r="R34" s="75">
        <f t="shared" si="1"/>
        <v>0</v>
      </c>
    </row>
    <row r="35" spans="1:18" hidden="1">
      <c r="A35" s="73">
        <f>'Local HTA submissions'!AD32</f>
        <v>0</v>
      </c>
      <c r="B35" s="70">
        <f>COUNTIFS('Local HTA submissions'!$E:$E,'By therapy area'!$A35,'Local HTA submissions'!$C:$C,'By therapy area'!B$4)</f>
        <v>0</v>
      </c>
      <c r="C35" s="70">
        <f>COUNTIFS('Local HTA submissions'!$E:$E,'By therapy area'!$A35,'Local HTA submissions'!$C:$C,'By therapy area'!C$4)</f>
        <v>0</v>
      </c>
      <c r="D35" s="70">
        <f>COUNTIFS('Local HTA submissions'!$E:$E,'By therapy area'!$A35,'Local HTA submissions'!$C:$C,'By therapy area'!D$4)</f>
        <v>0</v>
      </c>
      <c r="E35" s="70">
        <f>COUNTIFS('Local HTA submissions'!$E:$E,'By therapy area'!$A35,'Local HTA submissions'!$C:$C,'By therapy area'!E$4)</f>
        <v>0</v>
      </c>
      <c r="F35" s="70">
        <f>COUNTIFS('Local HTA submissions'!$E:$E,'By therapy area'!$A35,'Local HTA submissions'!$C:$C,'By therapy area'!F$4)</f>
        <v>0</v>
      </c>
      <c r="G35" s="70">
        <f>COUNTIFS('Local HTA submissions'!$E:$E,'By therapy area'!$A35,'Local HTA submissions'!$C:$C,'By therapy area'!G$4)</f>
        <v>0</v>
      </c>
      <c r="H35" s="70">
        <f>COUNTIFS('Local HTA submissions'!$E:$E,'By therapy area'!$A35,'Local HTA submissions'!$C:$C,'By therapy area'!H$4)</f>
        <v>0</v>
      </c>
      <c r="I35" s="70">
        <f>COUNTIFS('Local HTA submissions'!$E:$E,'By therapy area'!$A35,'Local HTA submissions'!$C:$C,'By therapy area'!I$4)</f>
        <v>0</v>
      </c>
      <c r="J35" s="70">
        <f>COUNTIFS('Local HTA submissions'!$E:$E,'By therapy area'!$A35,'Local HTA submissions'!$C:$C,'By therapy area'!J$4)</f>
        <v>0</v>
      </c>
      <c r="K35" s="70">
        <f>COUNTIFS('Local HTA submissions'!$E:$E,'By therapy area'!$A35,'Local HTA submissions'!$C:$C,'By therapy area'!K$4)</f>
        <v>0</v>
      </c>
      <c r="L35" s="70">
        <f>COUNTIFS('Local HTA submissions'!$E:$E,'By therapy area'!$A35,'Local HTA submissions'!$C:$C,'By therapy area'!L$4)</f>
        <v>0</v>
      </c>
      <c r="M35" s="70">
        <f>COUNTIFS('Local HTA submissions'!$E:$E,'By therapy area'!$A35,'Local HTA submissions'!$C:$C,'By therapy area'!M$4)</f>
        <v>0</v>
      </c>
      <c r="N35" s="70">
        <f>COUNTIFS('Local HTA submissions'!$E:$E,'By therapy area'!$A35,'Local HTA submissions'!$C:$C,'By therapy area'!N$4)</f>
        <v>0</v>
      </c>
      <c r="O35" s="70">
        <f>COUNTIFS('Local HTA submissions'!$E:$E,'By therapy area'!$A35,'Local HTA submissions'!$C:$C,'By therapy area'!O$4)</f>
        <v>0</v>
      </c>
      <c r="P35" s="70">
        <f>COUNTIFS('Local HTA submissions'!$E:$E,'By therapy area'!$A35,'Local HTA submissions'!$C:$C,'By therapy area'!P$4)</f>
        <v>0</v>
      </c>
      <c r="Q35" s="70">
        <f t="shared" si="0"/>
        <v>0</v>
      </c>
      <c r="R35" s="75">
        <f t="shared" si="1"/>
        <v>0</v>
      </c>
    </row>
    <row r="36" spans="1:18" hidden="1">
      <c r="A36" s="73">
        <f>'Local HTA submissions'!AD33</f>
        <v>0</v>
      </c>
      <c r="B36" s="71">
        <f>COUNTIFS('Local HTA submissions'!$E:$E,'By therapy area'!$A36,'Local HTA submissions'!$C:$C,'By therapy area'!B$4)</f>
        <v>0</v>
      </c>
      <c r="C36" s="71">
        <f>COUNTIFS('Local HTA submissions'!$E:$E,'By therapy area'!$A36,'Local HTA submissions'!$C:$C,'By therapy area'!C$4)</f>
        <v>0</v>
      </c>
      <c r="D36" s="71">
        <f>COUNTIFS('Local HTA submissions'!$E:$E,'By therapy area'!$A36,'Local HTA submissions'!$C:$C,'By therapy area'!D$4)</f>
        <v>0</v>
      </c>
      <c r="E36" s="71">
        <f>COUNTIFS('Local HTA submissions'!$E:$E,'By therapy area'!$A36,'Local HTA submissions'!$C:$C,'By therapy area'!E$4)</f>
        <v>0</v>
      </c>
      <c r="F36" s="71">
        <f>COUNTIFS('Local HTA submissions'!$E:$E,'By therapy area'!$A36,'Local HTA submissions'!$C:$C,'By therapy area'!F$4)</f>
        <v>0</v>
      </c>
      <c r="G36" s="71">
        <f>COUNTIFS('Local HTA submissions'!$E:$E,'By therapy area'!$A36,'Local HTA submissions'!$C:$C,'By therapy area'!G$4)</f>
        <v>0</v>
      </c>
      <c r="H36" s="71">
        <f>COUNTIFS('Local HTA submissions'!$E:$E,'By therapy area'!$A36,'Local HTA submissions'!$C:$C,'By therapy area'!H$4)</f>
        <v>0</v>
      </c>
      <c r="I36" s="71">
        <f>COUNTIFS('Local HTA submissions'!$E:$E,'By therapy area'!$A36,'Local HTA submissions'!$C:$C,'By therapy area'!I$4)</f>
        <v>0</v>
      </c>
      <c r="J36" s="71">
        <f>COUNTIFS('Local HTA submissions'!$E:$E,'By therapy area'!$A36,'Local HTA submissions'!$C:$C,'By therapy area'!J$4)</f>
        <v>0</v>
      </c>
      <c r="K36" s="71">
        <f>COUNTIFS('Local HTA submissions'!$E:$E,'By therapy area'!$A36,'Local HTA submissions'!$C:$C,'By therapy area'!K$4)</f>
        <v>0</v>
      </c>
      <c r="L36" s="71">
        <f>COUNTIFS('Local HTA submissions'!$E:$E,'By therapy area'!$A36,'Local HTA submissions'!$C:$C,'By therapy area'!L$4)</f>
        <v>0</v>
      </c>
      <c r="M36" s="71">
        <f>COUNTIFS('Local HTA submissions'!$E:$E,'By therapy area'!$A36,'Local HTA submissions'!$C:$C,'By therapy area'!M$4)</f>
        <v>0</v>
      </c>
      <c r="N36" s="71">
        <f>COUNTIFS('Local HTA submissions'!$E:$E,'By therapy area'!$A36,'Local HTA submissions'!$C:$C,'By therapy area'!N$4)</f>
        <v>0</v>
      </c>
      <c r="O36" s="71">
        <f>COUNTIFS('Local HTA submissions'!$E:$E,'By therapy area'!$A36,'Local HTA submissions'!$C:$C,'By therapy area'!O$4)</f>
        <v>0</v>
      </c>
      <c r="P36" s="71">
        <f>COUNTIFS('Local HTA submissions'!$E:$E,'By therapy area'!$A36,'Local HTA submissions'!$C:$C,'By therapy area'!P$4)</f>
        <v>0</v>
      </c>
      <c r="Q36" s="71">
        <f t="shared" si="0"/>
        <v>0</v>
      </c>
      <c r="R36" s="75">
        <f t="shared" si="1"/>
        <v>0</v>
      </c>
    </row>
    <row r="37" spans="1:18" hidden="1">
      <c r="A37" s="73">
        <f>'Local HTA submissions'!AD34</f>
        <v>0</v>
      </c>
      <c r="B37" s="70">
        <f>COUNTIFS('Local HTA submissions'!$E:$E,'By therapy area'!$A37,'Local HTA submissions'!$C:$C,'By therapy area'!B$4)</f>
        <v>0</v>
      </c>
      <c r="C37" s="70">
        <f>COUNTIFS('Local HTA submissions'!$E:$E,'By therapy area'!$A37,'Local HTA submissions'!$C:$C,'By therapy area'!C$4)</f>
        <v>0</v>
      </c>
      <c r="D37" s="70">
        <f>COUNTIFS('Local HTA submissions'!$E:$E,'By therapy area'!$A37,'Local HTA submissions'!$C:$C,'By therapy area'!D$4)</f>
        <v>0</v>
      </c>
      <c r="E37" s="70">
        <f>COUNTIFS('Local HTA submissions'!$E:$E,'By therapy area'!$A37,'Local HTA submissions'!$C:$C,'By therapy area'!E$4)</f>
        <v>0</v>
      </c>
      <c r="F37" s="70">
        <f>COUNTIFS('Local HTA submissions'!$E:$E,'By therapy area'!$A37,'Local HTA submissions'!$C:$C,'By therapy area'!F$4)</f>
        <v>0</v>
      </c>
      <c r="G37" s="70">
        <f>COUNTIFS('Local HTA submissions'!$E:$E,'By therapy area'!$A37,'Local HTA submissions'!$C:$C,'By therapy area'!G$4)</f>
        <v>0</v>
      </c>
      <c r="H37" s="70">
        <f>COUNTIFS('Local HTA submissions'!$E:$E,'By therapy area'!$A37,'Local HTA submissions'!$C:$C,'By therapy area'!H$4)</f>
        <v>0</v>
      </c>
      <c r="I37" s="70">
        <f>COUNTIFS('Local HTA submissions'!$E:$E,'By therapy area'!$A37,'Local HTA submissions'!$C:$C,'By therapy area'!I$4)</f>
        <v>0</v>
      </c>
      <c r="J37" s="70">
        <f>COUNTIFS('Local HTA submissions'!$E:$E,'By therapy area'!$A37,'Local HTA submissions'!$C:$C,'By therapy area'!J$4)</f>
        <v>0</v>
      </c>
      <c r="K37" s="70">
        <f>COUNTIFS('Local HTA submissions'!$E:$E,'By therapy area'!$A37,'Local HTA submissions'!$C:$C,'By therapy area'!K$4)</f>
        <v>0</v>
      </c>
      <c r="L37" s="70">
        <f>COUNTIFS('Local HTA submissions'!$E:$E,'By therapy area'!$A37,'Local HTA submissions'!$C:$C,'By therapy area'!L$4)</f>
        <v>0</v>
      </c>
      <c r="M37" s="70">
        <f>COUNTIFS('Local HTA submissions'!$E:$E,'By therapy area'!$A37,'Local HTA submissions'!$C:$C,'By therapy area'!M$4)</f>
        <v>0</v>
      </c>
      <c r="N37" s="70">
        <f>COUNTIFS('Local HTA submissions'!$E:$E,'By therapy area'!$A37,'Local HTA submissions'!$C:$C,'By therapy area'!N$4)</f>
        <v>0</v>
      </c>
      <c r="O37" s="70">
        <f>COUNTIFS('Local HTA submissions'!$E:$E,'By therapy area'!$A37,'Local HTA submissions'!$C:$C,'By therapy area'!O$4)</f>
        <v>0</v>
      </c>
      <c r="P37" s="70">
        <f>COUNTIFS('Local HTA submissions'!$E:$E,'By therapy area'!$A37,'Local HTA submissions'!$C:$C,'By therapy area'!P$4)</f>
        <v>0</v>
      </c>
      <c r="Q37" s="70">
        <f t="shared" si="0"/>
        <v>0</v>
      </c>
      <c r="R37" s="75">
        <f t="shared" si="1"/>
        <v>0</v>
      </c>
    </row>
    <row r="38" spans="1:18">
      <c r="A38" s="74" t="s">
        <v>697</v>
      </c>
      <c r="B38" s="72">
        <f>SUM(B5:B37)</f>
        <v>50</v>
      </c>
      <c r="C38" s="72">
        <f t="shared" ref="C38:Q38" si="2">SUM(C5:C37)</f>
        <v>27</v>
      </c>
      <c r="D38" s="72">
        <f t="shared" si="2"/>
        <v>6</v>
      </c>
      <c r="E38" s="72">
        <f t="shared" si="2"/>
        <v>22</v>
      </c>
      <c r="F38" s="72">
        <f t="shared" si="2"/>
        <v>85</v>
      </c>
      <c r="G38" s="72">
        <f t="shared" si="2"/>
        <v>40</v>
      </c>
      <c r="H38" s="72">
        <f t="shared" si="2"/>
        <v>46</v>
      </c>
      <c r="I38" s="72">
        <f t="shared" si="2"/>
        <v>69</v>
      </c>
      <c r="J38" s="72">
        <f t="shared" ref="J38:P38" si="3">SUM(J5:J37)</f>
        <v>161</v>
      </c>
      <c r="K38" s="72">
        <f t="shared" si="3"/>
        <v>6</v>
      </c>
      <c r="L38" s="72">
        <f t="shared" si="3"/>
        <v>20</v>
      </c>
      <c r="M38" s="72">
        <f t="shared" si="3"/>
        <v>13</v>
      </c>
      <c r="N38" s="72">
        <f t="shared" si="3"/>
        <v>2</v>
      </c>
      <c r="O38" s="72">
        <f t="shared" si="3"/>
        <v>1</v>
      </c>
      <c r="P38" s="72">
        <f t="shared" si="3"/>
        <v>1</v>
      </c>
      <c r="Q38" s="72">
        <f t="shared" si="2"/>
        <v>549</v>
      </c>
      <c r="R38" s="75">
        <f t="shared" si="1"/>
        <v>1</v>
      </c>
    </row>
    <row r="72" spans="1:13">
      <c r="A72" s="17" t="s">
        <v>704</v>
      </c>
      <c r="B72" s="18"/>
      <c r="C72" s="18"/>
      <c r="D72" s="18"/>
      <c r="E72" s="18"/>
      <c r="F72" s="18"/>
      <c r="G72" s="18"/>
      <c r="H72" s="18"/>
      <c r="I72" s="18"/>
      <c r="J72" s="18"/>
      <c r="K72" s="18"/>
      <c r="L72" s="19"/>
      <c r="M72" s="19"/>
    </row>
    <row r="73" spans="1:13">
      <c r="A73" s="41" t="s">
        <v>3</v>
      </c>
      <c r="B73" s="25" t="s">
        <v>708</v>
      </c>
      <c r="C73" s="25" t="s">
        <v>709</v>
      </c>
      <c r="D73" s="25" t="s">
        <v>710</v>
      </c>
      <c r="E73" s="25" t="s">
        <v>711</v>
      </c>
      <c r="F73" s="25" t="s">
        <v>712</v>
      </c>
      <c r="G73" s="25" t="s">
        <v>713</v>
      </c>
      <c r="H73" s="25" t="s">
        <v>714</v>
      </c>
      <c r="I73" s="25" t="s">
        <v>715</v>
      </c>
      <c r="J73" s="25" t="s">
        <v>716</v>
      </c>
      <c r="K73" s="25" t="s">
        <v>717</v>
      </c>
      <c r="L73" s="53" t="s">
        <v>697</v>
      </c>
      <c r="M73" s="42" t="s">
        <v>700</v>
      </c>
    </row>
    <row r="74" spans="1:13">
      <c r="A74" s="73" t="str">
        <f>'Local HTA submissions'!AD2</f>
        <v>Oncology</v>
      </c>
      <c r="B74" s="21">
        <f>COUNTIFS('Local HTA submissions'!$E:$E,'By therapy area'!$A5,'Local HTA submissions'!$H:$H,'By therapy area'!B$73)</f>
        <v>0</v>
      </c>
      <c r="C74" s="21">
        <f>COUNTIFS('Local HTA submissions'!$E:$E,'By therapy area'!$A5,'Local HTA submissions'!$H:$H,'By therapy area'!C$73)</f>
        <v>3</v>
      </c>
      <c r="D74" s="21">
        <f>COUNTIFS('Local HTA submissions'!$E:$E,'By therapy area'!$A5,'Local HTA submissions'!$H:$H,'By therapy area'!D$73)</f>
        <v>3</v>
      </c>
      <c r="E74" s="21">
        <f>COUNTIFS('Local HTA submissions'!$E:$E,'By therapy area'!$A5,'Local HTA submissions'!$H:$H,'By therapy area'!E$73)</f>
        <v>8</v>
      </c>
      <c r="F74" s="21">
        <f>COUNTIFS('Local HTA submissions'!$E:$E,'By therapy area'!$A5,'Local HTA submissions'!$H:$H,'By therapy area'!F$73)</f>
        <v>6</v>
      </c>
      <c r="G74" s="21">
        <f>COUNTIFS('Local HTA submissions'!$E:$E,'By therapy area'!$A5,'Local HTA submissions'!$H:$H,'By therapy area'!G$73)</f>
        <v>5</v>
      </c>
      <c r="H74" s="21">
        <f>COUNTIFS('Local HTA submissions'!$E:$E,'By therapy area'!$A5,'Local HTA submissions'!$H:$H,'By therapy area'!H$73)</f>
        <v>17</v>
      </c>
      <c r="I74" s="21">
        <f>COUNTIFS('Local HTA submissions'!$E:$E,'By therapy area'!$A5,'Local HTA submissions'!$H:$H,'By therapy area'!I$73)</f>
        <v>22</v>
      </c>
      <c r="J74" s="21">
        <f>COUNTIFS('Local HTA submissions'!$E:$E,'By therapy area'!$A5,'Local HTA submissions'!$H:$H,'By therapy area'!J$73)</f>
        <v>26</v>
      </c>
      <c r="K74" s="21">
        <f>COUNTIFS('Local HTA submissions'!$E:$E,'By therapy area'!$A5,'Local HTA submissions'!$H:$H,'By therapy area'!K$73)</f>
        <v>28</v>
      </c>
      <c r="L74" s="21">
        <f t="shared" ref="L74:L88" si="4">SUM(B74:K74)</f>
        <v>118</v>
      </c>
      <c r="M74" s="54">
        <f t="shared" ref="M74:M88" si="5">L74/$L$107</f>
        <v>0.37579617834394907</v>
      </c>
    </row>
    <row r="75" spans="1:13">
      <c r="A75" s="73" t="str">
        <f>'Local HTA submissions'!AD3</f>
        <v>Blood and immune system</v>
      </c>
      <c r="B75" s="21">
        <f>COUNTIFS('Local HTA submissions'!$E:$E,'By therapy area'!$A6,'Local HTA submissions'!$H:$H,'By therapy area'!B$73)</f>
        <v>0</v>
      </c>
      <c r="C75" s="21">
        <f>COUNTIFS('Local HTA submissions'!$E:$E,'By therapy area'!$A6,'Local HTA submissions'!$H:$H,'By therapy area'!C$73)</f>
        <v>0</v>
      </c>
      <c r="D75" s="21">
        <f>COUNTIFS('Local HTA submissions'!$E:$E,'By therapy area'!$A6,'Local HTA submissions'!$H:$H,'By therapy area'!D$73)</f>
        <v>0</v>
      </c>
      <c r="E75" s="21">
        <f>COUNTIFS('Local HTA submissions'!$E:$E,'By therapy area'!$A6,'Local HTA submissions'!$H:$H,'By therapy area'!E$73)</f>
        <v>0</v>
      </c>
      <c r="F75" s="21">
        <f>COUNTIFS('Local HTA submissions'!$E:$E,'By therapy area'!$A6,'Local HTA submissions'!$H:$H,'By therapy area'!F$73)</f>
        <v>0</v>
      </c>
      <c r="G75" s="21">
        <f>COUNTIFS('Local HTA submissions'!$E:$E,'By therapy area'!$A6,'Local HTA submissions'!$H:$H,'By therapy area'!G$73)</f>
        <v>1</v>
      </c>
      <c r="H75" s="21">
        <f>COUNTIFS('Local HTA submissions'!$E:$E,'By therapy area'!$A6,'Local HTA submissions'!$H:$H,'By therapy area'!H$73)</f>
        <v>3</v>
      </c>
      <c r="I75" s="21">
        <f>COUNTIFS('Local HTA submissions'!$E:$E,'By therapy area'!$A6,'Local HTA submissions'!$H:$H,'By therapy area'!I$73)</f>
        <v>0</v>
      </c>
      <c r="J75" s="21">
        <f>COUNTIFS('Local HTA submissions'!$E:$E,'By therapy area'!$A6,'Local HTA submissions'!$H:$H,'By therapy area'!J$73)</f>
        <v>2</v>
      </c>
      <c r="K75" s="21">
        <f>COUNTIFS('Local HTA submissions'!$E:$E,'By therapy area'!$A6,'Local HTA submissions'!$H:$H,'By therapy area'!K$73)</f>
        <v>6</v>
      </c>
      <c r="L75" s="21">
        <f t="shared" si="4"/>
        <v>12</v>
      </c>
      <c r="M75" s="54">
        <f t="shared" si="5"/>
        <v>3.8216560509554139E-2</v>
      </c>
    </row>
    <row r="76" spans="1:13">
      <c r="A76" s="73" t="str">
        <f>'Local HTA submissions'!AD4</f>
        <v>Gastroenterology</v>
      </c>
      <c r="B76" s="21">
        <f>COUNTIFS('Local HTA submissions'!$E:$E,'By therapy area'!$A7,'Local HTA submissions'!$H:$H,'By therapy area'!B$73)</f>
        <v>0</v>
      </c>
      <c r="C76" s="21">
        <f>COUNTIFS('Local HTA submissions'!$E:$E,'By therapy area'!$A7,'Local HTA submissions'!$H:$H,'By therapy area'!C$73)</f>
        <v>0</v>
      </c>
      <c r="D76" s="21">
        <f>COUNTIFS('Local HTA submissions'!$E:$E,'By therapy area'!$A7,'Local HTA submissions'!$H:$H,'By therapy area'!D$73)</f>
        <v>0</v>
      </c>
      <c r="E76" s="21">
        <f>COUNTIFS('Local HTA submissions'!$E:$E,'By therapy area'!$A7,'Local HTA submissions'!$H:$H,'By therapy area'!E$73)</f>
        <v>0</v>
      </c>
      <c r="F76" s="21">
        <f>COUNTIFS('Local HTA submissions'!$E:$E,'By therapy area'!$A7,'Local HTA submissions'!$H:$H,'By therapy area'!F$73)</f>
        <v>0</v>
      </c>
      <c r="G76" s="21">
        <f>COUNTIFS('Local HTA submissions'!$E:$E,'By therapy area'!$A7,'Local HTA submissions'!$H:$H,'By therapy area'!G$73)</f>
        <v>0</v>
      </c>
      <c r="H76" s="21">
        <f>COUNTIFS('Local HTA submissions'!$E:$E,'By therapy area'!$A7,'Local HTA submissions'!$H:$H,'By therapy area'!H$73)</f>
        <v>0</v>
      </c>
      <c r="I76" s="21">
        <f>COUNTIFS('Local HTA submissions'!$E:$E,'By therapy area'!$A7,'Local HTA submissions'!$H:$H,'By therapy area'!I$73)</f>
        <v>0</v>
      </c>
      <c r="J76" s="21">
        <f>COUNTIFS('Local HTA submissions'!$E:$E,'By therapy area'!$A7,'Local HTA submissions'!$H:$H,'By therapy area'!J$73)</f>
        <v>0</v>
      </c>
      <c r="K76" s="21">
        <f>COUNTIFS('Local HTA submissions'!$E:$E,'By therapy area'!$A7,'Local HTA submissions'!$H:$H,'By therapy area'!K$73)</f>
        <v>2</v>
      </c>
      <c r="L76" s="21">
        <f t="shared" si="4"/>
        <v>2</v>
      </c>
      <c r="M76" s="54">
        <f t="shared" si="5"/>
        <v>6.369426751592357E-3</v>
      </c>
    </row>
    <row r="77" spans="1:13">
      <c r="A77" s="73" t="str">
        <f>'Local HTA submissions'!AD5</f>
        <v>Cardiovascular diseases</v>
      </c>
      <c r="B77" s="21">
        <f>COUNTIFS('Local HTA submissions'!$E:$E,'By therapy area'!$A8,'Local HTA submissions'!$H:$H,'By therapy area'!B$73)</f>
        <v>2</v>
      </c>
      <c r="C77" s="21">
        <f>COUNTIFS('Local HTA submissions'!$E:$E,'By therapy area'!$A8,'Local HTA submissions'!$H:$H,'By therapy area'!C$73)</f>
        <v>3</v>
      </c>
      <c r="D77" s="21">
        <f>COUNTIFS('Local HTA submissions'!$E:$E,'By therapy area'!$A8,'Local HTA submissions'!$H:$H,'By therapy area'!D$73)</f>
        <v>0</v>
      </c>
      <c r="E77" s="21">
        <f>COUNTIFS('Local HTA submissions'!$E:$E,'By therapy area'!$A8,'Local HTA submissions'!$H:$H,'By therapy area'!E$73)</f>
        <v>1</v>
      </c>
      <c r="F77" s="21">
        <f>COUNTIFS('Local HTA submissions'!$E:$E,'By therapy area'!$A8,'Local HTA submissions'!$H:$H,'By therapy area'!F$73)</f>
        <v>0</v>
      </c>
      <c r="G77" s="21">
        <f>COUNTIFS('Local HTA submissions'!$E:$E,'By therapy area'!$A8,'Local HTA submissions'!$H:$H,'By therapy area'!G$73)</f>
        <v>0</v>
      </c>
      <c r="H77" s="21">
        <f>COUNTIFS('Local HTA submissions'!$E:$E,'By therapy area'!$A8,'Local HTA submissions'!$H:$H,'By therapy area'!H$73)</f>
        <v>0</v>
      </c>
      <c r="I77" s="21">
        <f>COUNTIFS('Local HTA submissions'!$E:$E,'By therapy area'!$A8,'Local HTA submissions'!$H:$H,'By therapy area'!I$73)</f>
        <v>4</v>
      </c>
      <c r="J77" s="21">
        <f>COUNTIFS('Local HTA submissions'!$E:$E,'By therapy area'!$A8,'Local HTA submissions'!$H:$H,'By therapy area'!J$73)</f>
        <v>4</v>
      </c>
      <c r="K77" s="21">
        <f>COUNTIFS('Local HTA submissions'!$E:$E,'By therapy area'!$A8,'Local HTA submissions'!$H:$H,'By therapy area'!K$73)</f>
        <v>1</v>
      </c>
      <c r="L77" s="21">
        <f t="shared" si="4"/>
        <v>15</v>
      </c>
      <c r="M77" s="54">
        <f t="shared" si="5"/>
        <v>4.7770700636942678E-2</v>
      </c>
    </row>
    <row r="78" spans="1:13">
      <c r="A78" s="73" t="str">
        <f>'Local HTA submissions'!AD6</f>
        <v>Respiratory</v>
      </c>
      <c r="B78" s="21">
        <f>COUNTIFS('Local HTA submissions'!$E:$E,'By therapy area'!$A9,'Local HTA submissions'!$H:$H,'By therapy area'!B$73)</f>
        <v>0</v>
      </c>
      <c r="C78" s="21">
        <f>COUNTIFS('Local HTA submissions'!$E:$E,'By therapy area'!$A9,'Local HTA submissions'!$H:$H,'By therapy area'!C$73)</f>
        <v>0</v>
      </c>
      <c r="D78" s="21">
        <f>COUNTIFS('Local HTA submissions'!$E:$E,'By therapy area'!$A9,'Local HTA submissions'!$H:$H,'By therapy area'!D$73)</f>
        <v>0</v>
      </c>
      <c r="E78" s="21">
        <f>COUNTIFS('Local HTA submissions'!$E:$E,'By therapy area'!$A9,'Local HTA submissions'!$H:$H,'By therapy area'!E$73)</f>
        <v>0</v>
      </c>
      <c r="F78" s="21">
        <f>COUNTIFS('Local HTA submissions'!$E:$E,'By therapy area'!$A9,'Local HTA submissions'!$H:$H,'By therapy area'!F$73)</f>
        <v>0</v>
      </c>
      <c r="G78" s="21">
        <f>COUNTIFS('Local HTA submissions'!$E:$E,'By therapy area'!$A9,'Local HTA submissions'!$H:$H,'By therapy area'!G$73)</f>
        <v>1</v>
      </c>
      <c r="H78" s="21">
        <f>COUNTIFS('Local HTA submissions'!$E:$E,'By therapy area'!$A9,'Local HTA submissions'!$H:$H,'By therapy area'!H$73)</f>
        <v>1</v>
      </c>
      <c r="I78" s="21">
        <f>COUNTIFS('Local HTA submissions'!$E:$E,'By therapy area'!$A9,'Local HTA submissions'!$H:$H,'By therapy area'!I$73)</f>
        <v>2</v>
      </c>
      <c r="J78" s="21">
        <f>COUNTIFS('Local HTA submissions'!$E:$E,'By therapy area'!$A9,'Local HTA submissions'!$H:$H,'By therapy area'!J$73)</f>
        <v>5</v>
      </c>
      <c r="K78" s="21">
        <f>COUNTIFS('Local HTA submissions'!$E:$E,'By therapy area'!$A9,'Local HTA submissions'!$H:$H,'By therapy area'!K$73)</f>
        <v>1</v>
      </c>
      <c r="L78" s="21">
        <f t="shared" si="4"/>
        <v>10</v>
      </c>
      <c r="M78" s="54">
        <f t="shared" si="5"/>
        <v>3.1847133757961783E-2</v>
      </c>
    </row>
    <row r="79" spans="1:13">
      <c r="A79" s="73" t="str">
        <f>'Local HTA submissions'!AD7</f>
        <v>Muscoloskeletal</v>
      </c>
      <c r="B79" s="21">
        <f>COUNTIFS('Local HTA submissions'!$E:$E,'By therapy area'!$A10,'Local HTA submissions'!$H:$H,'By therapy area'!B$73)</f>
        <v>0</v>
      </c>
      <c r="C79" s="21">
        <f>COUNTIFS('Local HTA submissions'!$E:$E,'By therapy area'!$A10,'Local HTA submissions'!$H:$H,'By therapy area'!C$73)</f>
        <v>0</v>
      </c>
      <c r="D79" s="21">
        <f>COUNTIFS('Local HTA submissions'!$E:$E,'By therapy area'!$A10,'Local HTA submissions'!$H:$H,'By therapy area'!D$73)</f>
        <v>0</v>
      </c>
      <c r="E79" s="21">
        <f>COUNTIFS('Local HTA submissions'!$E:$E,'By therapy area'!$A10,'Local HTA submissions'!$H:$H,'By therapy area'!E$73)</f>
        <v>1</v>
      </c>
      <c r="F79" s="21">
        <f>COUNTIFS('Local HTA submissions'!$E:$E,'By therapy area'!$A10,'Local HTA submissions'!$H:$H,'By therapy area'!F$73)</f>
        <v>1</v>
      </c>
      <c r="G79" s="21">
        <f>COUNTIFS('Local HTA submissions'!$E:$E,'By therapy area'!$A10,'Local HTA submissions'!$H:$H,'By therapy area'!G$73)</f>
        <v>3</v>
      </c>
      <c r="H79" s="21">
        <f>COUNTIFS('Local HTA submissions'!$E:$E,'By therapy area'!$A10,'Local HTA submissions'!$H:$H,'By therapy area'!H$73)</f>
        <v>1</v>
      </c>
      <c r="I79" s="21">
        <f>COUNTIFS('Local HTA submissions'!$E:$E,'By therapy area'!$A10,'Local HTA submissions'!$H:$H,'By therapy area'!I$73)</f>
        <v>3</v>
      </c>
      <c r="J79" s="21">
        <f>COUNTIFS('Local HTA submissions'!$E:$E,'By therapy area'!$A10,'Local HTA submissions'!$H:$H,'By therapy area'!J$73)</f>
        <v>4</v>
      </c>
      <c r="K79" s="21">
        <f>COUNTIFS('Local HTA submissions'!$E:$E,'By therapy area'!$A10,'Local HTA submissions'!$H:$H,'By therapy area'!K$73)</f>
        <v>2</v>
      </c>
      <c r="L79" s="21">
        <f t="shared" si="4"/>
        <v>15</v>
      </c>
      <c r="M79" s="54">
        <f t="shared" si="5"/>
        <v>4.7770700636942678E-2</v>
      </c>
    </row>
    <row r="80" spans="1:13">
      <c r="A80" s="73" t="str">
        <f>'Local HTA submissions'!AD8</f>
        <v>Other/None</v>
      </c>
      <c r="B80" s="21">
        <f>COUNTIFS('Local HTA submissions'!$E:$E,'By therapy area'!$A11,'Local HTA submissions'!$H:$H,'By therapy area'!B$73)</f>
        <v>0</v>
      </c>
      <c r="C80" s="21">
        <f>COUNTIFS('Local HTA submissions'!$E:$E,'By therapy area'!$A11,'Local HTA submissions'!$H:$H,'By therapy area'!C$73)</f>
        <v>0</v>
      </c>
      <c r="D80" s="21">
        <f>COUNTIFS('Local HTA submissions'!$E:$E,'By therapy area'!$A11,'Local HTA submissions'!$H:$H,'By therapy area'!D$73)</f>
        <v>0</v>
      </c>
      <c r="E80" s="21">
        <f>COUNTIFS('Local HTA submissions'!$E:$E,'By therapy area'!$A11,'Local HTA submissions'!$H:$H,'By therapy area'!E$73)</f>
        <v>0</v>
      </c>
      <c r="F80" s="21">
        <f>COUNTIFS('Local HTA submissions'!$E:$E,'By therapy area'!$A11,'Local HTA submissions'!$H:$H,'By therapy area'!F$73)</f>
        <v>0</v>
      </c>
      <c r="G80" s="21">
        <f>COUNTIFS('Local HTA submissions'!$E:$E,'By therapy area'!$A11,'Local HTA submissions'!$H:$H,'By therapy area'!G$73)</f>
        <v>1</v>
      </c>
      <c r="H80" s="21">
        <f>COUNTIFS('Local HTA submissions'!$E:$E,'By therapy area'!$A11,'Local HTA submissions'!$H:$H,'By therapy area'!H$73)</f>
        <v>1</v>
      </c>
      <c r="I80" s="21">
        <f>COUNTIFS('Local HTA submissions'!$E:$E,'By therapy area'!$A11,'Local HTA submissions'!$H:$H,'By therapy area'!I$73)</f>
        <v>0</v>
      </c>
      <c r="J80" s="21">
        <f>COUNTIFS('Local HTA submissions'!$E:$E,'By therapy area'!$A11,'Local HTA submissions'!$H:$H,'By therapy area'!J$73)</f>
        <v>3</v>
      </c>
      <c r="K80" s="21">
        <f>COUNTIFS('Local HTA submissions'!$E:$E,'By therapy area'!$A11,'Local HTA submissions'!$H:$H,'By therapy area'!K$73)</f>
        <v>0</v>
      </c>
      <c r="L80" s="21">
        <f t="shared" si="4"/>
        <v>5</v>
      </c>
      <c r="M80" s="54">
        <f t="shared" si="5"/>
        <v>1.5923566878980892E-2</v>
      </c>
    </row>
    <row r="81" spans="1:13">
      <c r="A81" s="73" t="str">
        <f>'Local HTA submissions'!AD9</f>
        <v>Metabolic/Endocrine Disorders</v>
      </c>
      <c r="B81" s="21">
        <f>COUNTIFS('Local HTA submissions'!$E:$E,'By therapy area'!$A12,'Local HTA submissions'!$H:$H,'By therapy area'!B$73)</f>
        <v>3</v>
      </c>
      <c r="C81" s="21">
        <f>COUNTIFS('Local HTA submissions'!$E:$E,'By therapy area'!$A12,'Local HTA submissions'!$H:$H,'By therapy area'!C$73)</f>
        <v>1</v>
      </c>
      <c r="D81" s="21">
        <f>COUNTIFS('Local HTA submissions'!$E:$E,'By therapy area'!$A12,'Local HTA submissions'!$H:$H,'By therapy area'!D$73)</f>
        <v>0</v>
      </c>
      <c r="E81" s="21">
        <f>COUNTIFS('Local HTA submissions'!$E:$E,'By therapy area'!$A12,'Local HTA submissions'!$H:$H,'By therapy area'!E$73)</f>
        <v>8</v>
      </c>
      <c r="F81" s="21">
        <f>COUNTIFS('Local HTA submissions'!$E:$E,'By therapy area'!$A12,'Local HTA submissions'!$H:$H,'By therapy area'!F$73)</f>
        <v>9</v>
      </c>
      <c r="G81" s="21">
        <f>COUNTIFS('Local HTA submissions'!$E:$E,'By therapy area'!$A12,'Local HTA submissions'!$H:$H,'By therapy area'!G$73)</f>
        <v>6</v>
      </c>
      <c r="H81" s="21">
        <f>COUNTIFS('Local HTA submissions'!$E:$E,'By therapy area'!$A12,'Local HTA submissions'!$H:$H,'By therapy area'!H$73)</f>
        <v>4</v>
      </c>
      <c r="I81" s="21">
        <f>COUNTIFS('Local HTA submissions'!$E:$E,'By therapy area'!$A12,'Local HTA submissions'!$H:$H,'By therapy area'!I$73)</f>
        <v>7</v>
      </c>
      <c r="J81" s="21">
        <f>COUNTIFS('Local HTA submissions'!$E:$E,'By therapy area'!$A12,'Local HTA submissions'!$H:$H,'By therapy area'!J$73)</f>
        <v>3</v>
      </c>
      <c r="K81" s="21">
        <f>COUNTIFS('Local HTA submissions'!$E:$E,'By therapy area'!$A12,'Local HTA submissions'!$H:$H,'By therapy area'!K$73)</f>
        <v>1</v>
      </c>
      <c r="L81" s="21">
        <f t="shared" si="4"/>
        <v>42</v>
      </c>
      <c r="M81" s="54">
        <f t="shared" si="5"/>
        <v>0.13375796178343949</v>
      </c>
    </row>
    <row r="82" spans="1:13">
      <c r="A82" s="73" t="str">
        <f>'Local HTA submissions'!AD10</f>
        <v>Dermatology</v>
      </c>
      <c r="B82" s="21">
        <f>COUNTIFS('Local HTA submissions'!$E:$E,'By therapy area'!$A13,'Local HTA submissions'!$H:$H,'By therapy area'!B$73)</f>
        <v>0</v>
      </c>
      <c r="C82" s="21">
        <f>COUNTIFS('Local HTA submissions'!$E:$E,'By therapy area'!$A13,'Local HTA submissions'!$H:$H,'By therapy area'!C$73)</f>
        <v>0</v>
      </c>
      <c r="D82" s="21">
        <f>COUNTIFS('Local HTA submissions'!$E:$E,'By therapy area'!$A13,'Local HTA submissions'!$H:$H,'By therapy area'!D$73)</f>
        <v>0</v>
      </c>
      <c r="E82" s="21">
        <f>COUNTIFS('Local HTA submissions'!$E:$E,'By therapy area'!$A13,'Local HTA submissions'!$H:$H,'By therapy area'!E$73)</f>
        <v>3</v>
      </c>
      <c r="F82" s="21">
        <f>COUNTIFS('Local HTA submissions'!$E:$E,'By therapy area'!$A13,'Local HTA submissions'!$H:$H,'By therapy area'!F$73)</f>
        <v>2</v>
      </c>
      <c r="G82" s="21">
        <f>COUNTIFS('Local HTA submissions'!$E:$E,'By therapy area'!$A13,'Local HTA submissions'!$H:$H,'By therapy area'!G$73)</f>
        <v>2</v>
      </c>
      <c r="H82" s="21">
        <f>COUNTIFS('Local HTA submissions'!$E:$E,'By therapy area'!$A13,'Local HTA submissions'!$H:$H,'By therapy area'!H$73)</f>
        <v>3</v>
      </c>
      <c r="I82" s="21">
        <f>COUNTIFS('Local HTA submissions'!$E:$E,'By therapy area'!$A13,'Local HTA submissions'!$H:$H,'By therapy area'!I$73)</f>
        <v>2</v>
      </c>
      <c r="J82" s="21">
        <f>COUNTIFS('Local HTA submissions'!$E:$E,'By therapy area'!$A13,'Local HTA submissions'!$H:$H,'By therapy area'!J$73)</f>
        <v>2</v>
      </c>
      <c r="K82" s="21">
        <f>COUNTIFS('Local HTA submissions'!$E:$E,'By therapy area'!$A13,'Local HTA submissions'!$H:$H,'By therapy area'!K$73)</f>
        <v>0</v>
      </c>
      <c r="L82" s="21">
        <f t="shared" si="4"/>
        <v>14</v>
      </c>
      <c r="M82" s="54">
        <f t="shared" si="5"/>
        <v>4.4585987261146494E-2</v>
      </c>
    </row>
    <row r="83" spans="1:13">
      <c r="A83" s="73" t="str">
        <f>'Local HTA submissions'!AD11</f>
        <v>Infectious diseases</v>
      </c>
      <c r="B83" s="21">
        <f>COUNTIFS('Local HTA submissions'!$E:$E,'By therapy area'!$A14,'Local HTA submissions'!$H:$H,'By therapy area'!B$73)</f>
        <v>1</v>
      </c>
      <c r="C83" s="21">
        <f>COUNTIFS('Local HTA submissions'!$E:$E,'By therapy area'!$A14,'Local HTA submissions'!$H:$H,'By therapy area'!C$73)</f>
        <v>0</v>
      </c>
      <c r="D83" s="21">
        <f>COUNTIFS('Local HTA submissions'!$E:$E,'By therapy area'!$A14,'Local HTA submissions'!$H:$H,'By therapy area'!D$73)</f>
        <v>0</v>
      </c>
      <c r="E83" s="21">
        <f>COUNTIFS('Local HTA submissions'!$E:$E,'By therapy area'!$A14,'Local HTA submissions'!$H:$H,'By therapy area'!E$73)</f>
        <v>4</v>
      </c>
      <c r="F83" s="21">
        <f>COUNTIFS('Local HTA submissions'!$E:$E,'By therapy area'!$A14,'Local HTA submissions'!$H:$H,'By therapy area'!F$73)</f>
        <v>0</v>
      </c>
      <c r="G83" s="21">
        <f>COUNTIFS('Local HTA submissions'!$E:$E,'By therapy area'!$A14,'Local HTA submissions'!$H:$H,'By therapy area'!G$73)</f>
        <v>3</v>
      </c>
      <c r="H83" s="21">
        <f>COUNTIFS('Local HTA submissions'!$E:$E,'By therapy area'!$A14,'Local HTA submissions'!$H:$H,'By therapy area'!H$73)</f>
        <v>2</v>
      </c>
      <c r="I83" s="21">
        <f>COUNTIFS('Local HTA submissions'!$E:$E,'By therapy area'!$A14,'Local HTA submissions'!$H:$H,'By therapy area'!I$73)</f>
        <v>3</v>
      </c>
      <c r="J83" s="21">
        <f>COUNTIFS('Local HTA submissions'!$E:$E,'By therapy area'!$A14,'Local HTA submissions'!$H:$H,'By therapy area'!J$73)</f>
        <v>4</v>
      </c>
      <c r="K83" s="21">
        <f>COUNTIFS('Local HTA submissions'!$E:$E,'By therapy area'!$A14,'Local HTA submissions'!$H:$H,'By therapy area'!K$73)</f>
        <v>4</v>
      </c>
      <c r="L83" s="21">
        <f t="shared" si="4"/>
        <v>21</v>
      </c>
      <c r="M83" s="54">
        <f t="shared" si="5"/>
        <v>6.6878980891719744E-2</v>
      </c>
    </row>
    <row r="84" spans="1:13">
      <c r="A84" s="73" t="str">
        <f>'Local HTA submissions'!AD12</f>
        <v>Ophthalmology</v>
      </c>
      <c r="B84" s="21">
        <f>COUNTIFS('Local HTA submissions'!$E:$E,'By therapy area'!$A15,'Local HTA submissions'!$H:$H,'By therapy area'!B$73)</f>
        <v>0</v>
      </c>
      <c r="C84" s="21">
        <f>COUNTIFS('Local HTA submissions'!$E:$E,'By therapy area'!$A15,'Local HTA submissions'!$H:$H,'By therapy area'!C$73)</f>
        <v>3</v>
      </c>
      <c r="D84" s="21">
        <f>COUNTIFS('Local HTA submissions'!$E:$E,'By therapy area'!$A15,'Local HTA submissions'!$H:$H,'By therapy area'!D$73)</f>
        <v>2</v>
      </c>
      <c r="E84" s="21">
        <f>COUNTIFS('Local HTA submissions'!$E:$E,'By therapy area'!$A15,'Local HTA submissions'!$H:$H,'By therapy area'!E$73)</f>
        <v>2</v>
      </c>
      <c r="F84" s="21">
        <f>COUNTIFS('Local HTA submissions'!$E:$E,'By therapy area'!$A15,'Local HTA submissions'!$H:$H,'By therapy area'!F$73)</f>
        <v>3</v>
      </c>
      <c r="G84" s="21">
        <f>COUNTIFS('Local HTA submissions'!$E:$E,'By therapy area'!$A15,'Local HTA submissions'!$H:$H,'By therapy area'!G$73)</f>
        <v>0</v>
      </c>
      <c r="H84" s="21">
        <f>COUNTIFS('Local HTA submissions'!$E:$E,'By therapy area'!$A15,'Local HTA submissions'!$H:$H,'By therapy area'!H$73)</f>
        <v>0</v>
      </c>
      <c r="I84" s="21">
        <f>COUNTIFS('Local HTA submissions'!$E:$E,'By therapy area'!$A15,'Local HTA submissions'!$H:$H,'By therapy area'!I$73)</f>
        <v>0</v>
      </c>
      <c r="J84" s="21">
        <f>COUNTIFS('Local HTA submissions'!$E:$E,'By therapy area'!$A15,'Local HTA submissions'!$H:$H,'By therapy area'!J$73)</f>
        <v>4</v>
      </c>
      <c r="K84" s="21">
        <f>COUNTIFS('Local HTA submissions'!$E:$E,'By therapy area'!$A15,'Local HTA submissions'!$H:$H,'By therapy area'!K$73)</f>
        <v>0</v>
      </c>
      <c r="L84" s="21">
        <f t="shared" si="4"/>
        <v>14</v>
      </c>
      <c r="M84" s="54">
        <f t="shared" si="5"/>
        <v>4.4585987261146494E-2</v>
      </c>
    </row>
    <row r="85" spans="1:13">
      <c r="A85" s="73" t="str">
        <f>'Local HTA submissions'!AD13</f>
        <v>Gynacology</v>
      </c>
      <c r="B85" s="21">
        <f>COUNTIFS('Local HTA submissions'!$E:$E,'By therapy area'!$A16,'Local HTA submissions'!$H:$H,'By therapy area'!B$73)</f>
        <v>0</v>
      </c>
      <c r="C85" s="21">
        <f>COUNTIFS('Local HTA submissions'!$E:$E,'By therapy area'!$A16,'Local HTA submissions'!$H:$H,'By therapy area'!C$73)</f>
        <v>0</v>
      </c>
      <c r="D85" s="21">
        <f>COUNTIFS('Local HTA submissions'!$E:$E,'By therapy area'!$A16,'Local HTA submissions'!$H:$H,'By therapy area'!D$73)</f>
        <v>0</v>
      </c>
      <c r="E85" s="21">
        <f>COUNTIFS('Local HTA submissions'!$E:$E,'By therapy area'!$A16,'Local HTA submissions'!$H:$H,'By therapy area'!E$73)</f>
        <v>1</v>
      </c>
      <c r="F85" s="21">
        <f>COUNTIFS('Local HTA submissions'!$E:$E,'By therapy area'!$A16,'Local HTA submissions'!$H:$H,'By therapy area'!F$73)</f>
        <v>0</v>
      </c>
      <c r="G85" s="21">
        <f>COUNTIFS('Local HTA submissions'!$E:$E,'By therapy area'!$A16,'Local HTA submissions'!$H:$H,'By therapy area'!G$73)</f>
        <v>1</v>
      </c>
      <c r="H85" s="21">
        <f>COUNTIFS('Local HTA submissions'!$E:$E,'By therapy area'!$A16,'Local HTA submissions'!$H:$H,'By therapy area'!H$73)</f>
        <v>1</v>
      </c>
      <c r="I85" s="21">
        <f>COUNTIFS('Local HTA submissions'!$E:$E,'By therapy area'!$A16,'Local HTA submissions'!$H:$H,'By therapy area'!I$73)</f>
        <v>0</v>
      </c>
      <c r="J85" s="21">
        <f>COUNTIFS('Local HTA submissions'!$E:$E,'By therapy area'!$A16,'Local HTA submissions'!$H:$H,'By therapy area'!J$73)</f>
        <v>0</v>
      </c>
      <c r="K85" s="21">
        <f>COUNTIFS('Local HTA submissions'!$E:$E,'By therapy area'!$A16,'Local HTA submissions'!$H:$H,'By therapy area'!K$73)</f>
        <v>0</v>
      </c>
      <c r="L85" s="21">
        <f t="shared" si="4"/>
        <v>3</v>
      </c>
      <c r="M85" s="54">
        <f t="shared" si="5"/>
        <v>9.5541401273885346E-3</v>
      </c>
    </row>
    <row r="86" spans="1:13">
      <c r="A86" s="73" t="str">
        <f>'Local HTA submissions'!AD14</f>
        <v>Digestive system</v>
      </c>
      <c r="B86" s="21">
        <f>COUNTIFS('Local HTA submissions'!$E:$E,'By therapy area'!$A17,'Local HTA submissions'!$H:$H,'By therapy area'!B$73)</f>
        <v>0</v>
      </c>
      <c r="C86" s="21">
        <f>COUNTIFS('Local HTA submissions'!$E:$E,'By therapy area'!$A17,'Local HTA submissions'!$H:$H,'By therapy area'!C$73)</f>
        <v>0</v>
      </c>
      <c r="D86" s="21">
        <f>COUNTIFS('Local HTA submissions'!$E:$E,'By therapy area'!$A17,'Local HTA submissions'!$H:$H,'By therapy area'!D$73)</f>
        <v>0</v>
      </c>
      <c r="E86" s="21">
        <f>COUNTIFS('Local HTA submissions'!$E:$E,'By therapy area'!$A17,'Local HTA submissions'!$H:$H,'By therapy area'!E$73)</f>
        <v>0</v>
      </c>
      <c r="F86" s="21">
        <f>COUNTIFS('Local HTA submissions'!$E:$E,'By therapy area'!$A17,'Local HTA submissions'!$H:$H,'By therapy area'!F$73)</f>
        <v>0</v>
      </c>
      <c r="G86" s="21">
        <f>COUNTIFS('Local HTA submissions'!$E:$E,'By therapy area'!$A17,'Local HTA submissions'!$H:$H,'By therapy area'!G$73)</f>
        <v>1</v>
      </c>
      <c r="H86" s="21">
        <f>COUNTIFS('Local HTA submissions'!$E:$E,'By therapy area'!$A17,'Local HTA submissions'!$H:$H,'By therapy area'!H$73)</f>
        <v>2</v>
      </c>
      <c r="I86" s="21">
        <f>COUNTIFS('Local HTA submissions'!$E:$E,'By therapy area'!$A17,'Local HTA submissions'!$H:$H,'By therapy area'!I$73)</f>
        <v>1</v>
      </c>
      <c r="J86" s="21">
        <f>COUNTIFS('Local HTA submissions'!$E:$E,'By therapy area'!$A17,'Local HTA submissions'!$H:$H,'By therapy area'!J$73)</f>
        <v>0</v>
      </c>
      <c r="K86" s="21">
        <f>COUNTIFS('Local HTA submissions'!$E:$E,'By therapy area'!$A17,'Local HTA submissions'!$H:$H,'By therapy area'!K$73)</f>
        <v>2</v>
      </c>
      <c r="L86" s="21">
        <f t="shared" si="4"/>
        <v>6</v>
      </c>
      <c r="M86" s="54">
        <f t="shared" si="5"/>
        <v>1.9108280254777069E-2</v>
      </c>
    </row>
    <row r="87" spans="1:13">
      <c r="A87" s="73" t="str">
        <f>'Local HTA submissions'!AD15</f>
        <v>Central nervous system</v>
      </c>
      <c r="B87" s="21">
        <f>COUNTIFS('Local HTA submissions'!$E:$E,'By therapy area'!$A18,'Local HTA submissions'!$H:$H,'By therapy area'!B$73)</f>
        <v>0</v>
      </c>
      <c r="C87" s="21">
        <f>COUNTIFS('Local HTA submissions'!$E:$E,'By therapy area'!$A18,'Local HTA submissions'!$H:$H,'By therapy area'!C$73)</f>
        <v>0</v>
      </c>
      <c r="D87" s="21">
        <f>COUNTIFS('Local HTA submissions'!$E:$E,'By therapy area'!$A18,'Local HTA submissions'!$H:$H,'By therapy area'!D$73)</f>
        <v>0</v>
      </c>
      <c r="E87" s="21">
        <f>COUNTIFS('Local HTA submissions'!$E:$E,'By therapy area'!$A18,'Local HTA submissions'!$H:$H,'By therapy area'!E$73)</f>
        <v>1</v>
      </c>
      <c r="F87" s="21">
        <f>COUNTIFS('Local HTA submissions'!$E:$E,'By therapy area'!$A18,'Local HTA submissions'!$H:$H,'By therapy area'!F$73)</f>
        <v>3</v>
      </c>
      <c r="G87" s="21">
        <f>COUNTIFS('Local HTA submissions'!$E:$E,'By therapy area'!$A18,'Local HTA submissions'!$H:$H,'By therapy area'!G$73)</f>
        <v>1</v>
      </c>
      <c r="H87" s="21">
        <f>COUNTIFS('Local HTA submissions'!$E:$E,'By therapy area'!$A18,'Local HTA submissions'!$H:$H,'By therapy area'!H$73)</f>
        <v>3</v>
      </c>
      <c r="I87" s="21">
        <f>COUNTIFS('Local HTA submissions'!$E:$E,'By therapy area'!$A18,'Local HTA submissions'!$H:$H,'By therapy area'!I$73)</f>
        <v>1</v>
      </c>
      <c r="J87" s="21">
        <f>COUNTIFS('Local HTA submissions'!$E:$E,'By therapy area'!$A18,'Local HTA submissions'!$H:$H,'By therapy area'!J$73)</f>
        <v>6</v>
      </c>
      <c r="K87" s="21">
        <f>COUNTIFS('Local HTA submissions'!$E:$E,'By therapy area'!$A18,'Local HTA submissions'!$H:$H,'By therapy area'!K$73)</f>
        <v>1</v>
      </c>
      <c r="L87" s="21">
        <f t="shared" si="4"/>
        <v>16</v>
      </c>
      <c r="M87" s="54">
        <f t="shared" si="5"/>
        <v>5.0955414012738856E-2</v>
      </c>
    </row>
    <row r="88" spans="1:13">
      <c r="A88" s="73" t="str">
        <f>'Local HTA submissions'!AD16</f>
        <v>Mental and behavioural disorders</v>
      </c>
      <c r="B88" s="56">
        <f>COUNTIFS('Local HTA submissions'!$E:$E,'By therapy area'!$A19,'Local HTA submissions'!$H:$H,'By therapy area'!B$73)</f>
        <v>0</v>
      </c>
      <c r="C88" s="56">
        <f>COUNTIFS('Local HTA submissions'!$E:$E,'By therapy area'!$A19,'Local HTA submissions'!$H:$H,'By therapy area'!C$73)</f>
        <v>0</v>
      </c>
      <c r="D88" s="56">
        <f>COUNTIFS('Local HTA submissions'!$E:$E,'By therapy area'!$A19,'Local HTA submissions'!$H:$H,'By therapy area'!D$73)</f>
        <v>0</v>
      </c>
      <c r="E88" s="56">
        <f>COUNTIFS('Local HTA submissions'!$E:$E,'By therapy area'!$A19,'Local HTA submissions'!$H:$H,'By therapy area'!E$73)</f>
        <v>0</v>
      </c>
      <c r="F88" s="56">
        <f>COUNTIFS('Local HTA submissions'!$E:$E,'By therapy area'!$A19,'Local HTA submissions'!$H:$H,'By therapy area'!F$73)</f>
        <v>0</v>
      </c>
      <c r="G88" s="56">
        <f>COUNTIFS('Local HTA submissions'!$E:$E,'By therapy area'!$A19,'Local HTA submissions'!$H:$H,'By therapy area'!G$73)</f>
        <v>0</v>
      </c>
      <c r="H88" s="56">
        <f>COUNTIFS('Local HTA submissions'!$E:$E,'By therapy area'!$A19,'Local HTA submissions'!$H:$H,'By therapy area'!H$73)</f>
        <v>0</v>
      </c>
      <c r="I88" s="56">
        <f>COUNTIFS('Local HTA submissions'!$E:$E,'By therapy area'!$A19,'Local HTA submissions'!$H:$H,'By therapy area'!I$73)</f>
        <v>0</v>
      </c>
      <c r="J88" s="56">
        <f>COUNTIFS('Local HTA submissions'!$E:$E,'By therapy area'!$A19,'Local HTA submissions'!$H:$H,'By therapy area'!J$73)</f>
        <v>1</v>
      </c>
      <c r="K88" s="56">
        <f>COUNTIFS('Local HTA submissions'!$E:$E,'By therapy area'!$A19,'Local HTA submissions'!$H:$H,'By therapy area'!K$73)</f>
        <v>1</v>
      </c>
      <c r="L88" s="56">
        <f t="shared" si="4"/>
        <v>2</v>
      </c>
      <c r="M88" s="57">
        <f t="shared" si="5"/>
        <v>6.369426751592357E-3</v>
      </c>
    </row>
    <row r="89" spans="1:13">
      <c r="A89" s="73" t="str">
        <f>'Local HTA submissions'!AD17</f>
        <v>Rare Disease</v>
      </c>
      <c r="B89" s="21">
        <f>COUNTIFS('Local HTA submissions'!$E:$E,'By therapy area'!$A20,'Local HTA submissions'!$H:$H,'By therapy area'!B$73)</f>
        <v>0</v>
      </c>
      <c r="C89" s="21">
        <f>COUNTIFS('Local HTA submissions'!$E:$E,'By therapy area'!$A20,'Local HTA submissions'!$H:$H,'By therapy area'!C$73)</f>
        <v>0</v>
      </c>
      <c r="D89" s="21">
        <f>COUNTIFS('Local HTA submissions'!$E:$E,'By therapy area'!$A20,'Local HTA submissions'!$H:$H,'By therapy area'!D$73)</f>
        <v>0</v>
      </c>
      <c r="E89" s="21">
        <f>COUNTIFS('Local HTA submissions'!$E:$E,'By therapy area'!$A20,'Local HTA submissions'!$H:$H,'By therapy area'!E$73)</f>
        <v>0</v>
      </c>
      <c r="F89" s="21">
        <f>COUNTIFS('Local HTA submissions'!$E:$E,'By therapy area'!$A20,'Local HTA submissions'!$H:$H,'By therapy area'!F$73)</f>
        <v>0</v>
      </c>
      <c r="G89" s="21">
        <f>COUNTIFS('Local HTA submissions'!$E:$E,'By therapy area'!$A20,'Local HTA submissions'!$H:$H,'By therapy area'!G$73)</f>
        <v>0</v>
      </c>
      <c r="H89" s="21">
        <f>COUNTIFS('Local HTA submissions'!$E:$E,'By therapy area'!$A20,'Local HTA submissions'!$H:$H,'By therapy area'!H$73)</f>
        <v>0</v>
      </c>
      <c r="I89" s="21">
        <f>COUNTIFS('Local HTA submissions'!$E:$E,'By therapy area'!$A20,'Local HTA submissions'!$H:$H,'By therapy area'!I$73)</f>
        <v>0</v>
      </c>
      <c r="J89" s="21">
        <f>COUNTIFS('Local HTA submissions'!$E:$E,'By therapy area'!$A20,'Local HTA submissions'!$H:$H,'By therapy area'!J$73)</f>
        <v>1</v>
      </c>
      <c r="K89" s="21">
        <f>COUNTIFS('Local HTA submissions'!$E:$E,'By therapy area'!$A20,'Local HTA submissions'!$H:$H,'By therapy area'!K$73)</f>
        <v>1</v>
      </c>
      <c r="L89" s="21">
        <f t="shared" ref="L89:L106" si="6">SUM(B89:K89)</f>
        <v>2</v>
      </c>
      <c r="M89" s="54">
        <f t="shared" ref="M89:M106" si="7">L89/$L$107</f>
        <v>6.369426751592357E-3</v>
      </c>
    </row>
    <row r="90" spans="1:13">
      <c r="A90" s="73" t="str">
        <f>'Local HTA submissions'!AD18</f>
        <v>Vaccines</v>
      </c>
      <c r="B90" s="21">
        <f>COUNTIFS('Local HTA submissions'!$E:$E,'By therapy area'!$A21,'Local HTA submissions'!$H:$H,'By therapy area'!B$73)</f>
        <v>0</v>
      </c>
      <c r="C90" s="21">
        <f>COUNTIFS('Local HTA submissions'!$E:$E,'By therapy area'!$A21,'Local HTA submissions'!$H:$H,'By therapy area'!C$73)</f>
        <v>0</v>
      </c>
      <c r="D90" s="21">
        <f>COUNTIFS('Local HTA submissions'!$E:$E,'By therapy area'!$A21,'Local HTA submissions'!$H:$H,'By therapy area'!D$73)</f>
        <v>0</v>
      </c>
      <c r="E90" s="21">
        <f>COUNTIFS('Local HTA submissions'!$E:$E,'By therapy area'!$A21,'Local HTA submissions'!$H:$H,'By therapy area'!E$73)</f>
        <v>0</v>
      </c>
      <c r="F90" s="21">
        <f>COUNTIFS('Local HTA submissions'!$E:$E,'By therapy area'!$A21,'Local HTA submissions'!$H:$H,'By therapy area'!F$73)</f>
        <v>0</v>
      </c>
      <c r="G90" s="21">
        <f>COUNTIFS('Local HTA submissions'!$E:$E,'By therapy area'!$A21,'Local HTA submissions'!$H:$H,'By therapy area'!G$73)</f>
        <v>0</v>
      </c>
      <c r="H90" s="21">
        <f>COUNTIFS('Local HTA submissions'!$E:$E,'By therapy area'!$A21,'Local HTA submissions'!$H:$H,'By therapy area'!H$73)</f>
        <v>0</v>
      </c>
      <c r="I90" s="21">
        <f>COUNTIFS('Local HTA submissions'!$E:$E,'By therapy area'!$A21,'Local HTA submissions'!$H:$H,'By therapy area'!I$73)</f>
        <v>0</v>
      </c>
      <c r="J90" s="21">
        <f>COUNTIFS('Local HTA submissions'!$E:$E,'By therapy area'!$A21,'Local HTA submissions'!$H:$H,'By therapy area'!J$73)</f>
        <v>0</v>
      </c>
      <c r="K90" s="21">
        <f>COUNTIFS('Local HTA submissions'!$E:$E,'By therapy area'!$A21,'Local HTA submissions'!$H:$H,'By therapy area'!K$73)</f>
        <v>0</v>
      </c>
      <c r="L90" s="21">
        <f t="shared" si="6"/>
        <v>0</v>
      </c>
      <c r="M90" s="54">
        <f t="shared" si="7"/>
        <v>0</v>
      </c>
    </row>
    <row r="91" spans="1:13">
      <c r="A91" s="73" t="str">
        <f>'Local HTA submissions'!AD19</f>
        <v>Urology</v>
      </c>
      <c r="B91" s="21">
        <f>COUNTIFS('Local HTA submissions'!$E:$E,'By therapy area'!$A22,'Local HTA submissions'!$H:$H,'By therapy area'!B$73)</f>
        <v>0</v>
      </c>
      <c r="C91" s="21">
        <f>COUNTIFS('Local HTA submissions'!$E:$E,'By therapy area'!$A22,'Local HTA submissions'!$H:$H,'By therapy area'!C$73)</f>
        <v>0</v>
      </c>
      <c r="D91" s="21">
        <f>COUNTIFS('Local HTA submissions'!$E:$E,'By therapy area'!$A22,'Local HTA submissions'!$H:$H,'By therapy area'!D$73)</f>
        <v>0</v>
      </c>
      <c r="E91" s="21">
        <f>COUNTIFS('Local HTA submissions'!$E:$E,'By therapy area'!$A22,'Local HTA submissions'!$H:$H,'By therapy area'!E$73)</f>
        <v>0</v>
      </c>
      <c r="F91" s="21">
        <f>COUNTIFS('Local HTA submissions'!$E:$E,'By therapy area'!$A22,'Local HTA submissions'!$H:$H,'By therapy area'!F$73)</f>
        <v>0</v>
      </c>
      <c r="G91" s="21">
        <f>COUNTIFS('Local HTA submissions'!$E:$E,'By therapy area'!$A22,'Local HTA submissions'!$H:$H,'By therapy area'!G$73)</f>
        <v>0</v>
      </c>
      <c r="H91" s="21">
        <f>COUNTIFS('Local HTA submissions'!$E:$E,'By therapy area'!$A22,'Local HTA submissions'!$H:$H,'By therapy area'!H$73)</f>
        <v>0</v>
      </c>
      <c r="I91" s="21">
        <f>COUNTIFS('Local HTA submissions'!$E:$E,'By therapy area'!$A22,'Local HTA submissions'!$H:$H,'By therapy area'!I$73)</f>
        <v>0</v>
      </c>
      <c r="J91" s="21">
        <f>COUNTIFS('Local HTA submissions'!$E:$E,'By therapy area'!$A22,'Local HTA submissions'!$H:$H,'By therapy area'!J$73)</f>
        <v>0</v>
      </c>
      <c r="K91" s="21">
        <f>COUNTIFS('Local HTA submissions'!$E:$E,'By therapy area'!$A22,'Local HTA submissions'!$H:$H,'By therapy area'!K$73)</f>
        <v>0</v>
      </c>
      <c r="L91" s="21">
        <f t="shared" si="6"/>
        <v>0</v>
      </c>
      <c r="M91" s="54">
        <f t="shared" si="7"/>
        <v>0</v>
      </c>
    </row>
    <row r="92" spans="1:13">
      <c r="A92" s="73" t="str">
        <f>'Local HTA submissions'!AD20</f>
        <v>Neurology</v>
      </c>
      <c r="B92" s="21">
        <f>COUNTIFS('Local HTA submissions'!$E:$E,'By therapy area'!$A23,'Local HTA submissions'!$H:$H,'By therapy area'!B$73)</f>
        <v>0</v>
      </c>
      <c r="C92" s="21">
        <f>COUNTIFS('Local HTA submissions'!$E:$E,'By therapy area'!$A23,'Local HTA submissions'!$H:$H,'By therapy area'!C$73)</f>
        <v>0</v>
      </c>
      <c r="D92" s="21">
        <f>COUNTIFS('Local HTA submissions'!$E:$E,'By therapy area'!$A23,'Local HTA submissions'!$H:$H,'By therapy area'!D$73)</f>
        <v>0</v>
      </c>
      <c r="E92" s="21">
        <f>COUNTIFS('Local HTA submissions'!$E:$E,'By therapy area'!$A23,'Local HTA submissions'!$H:$H,'By therapy area'!E$73)</f>
        <v>0</v>
      </c>
      <c r="F92" s="21">
        <f>COUNTIFS('Local HTA submissions'!$E:$E,'By therapy area'!$A23,'Local HTA submissions'!$H:$H,'By therapy area'!F$73)</f>
        <v>0</v>
      </c>
      <c r="G92" s="21">
        <f>COUNTIFS('Local HTA submissions'!$E:$E,'By therapy area'!$A23,'Local HTA submissions'!$H:$H,'By therapy area'!G$73)</f>
        <v>0</v>
      </c>
      <c r="H92" s="21">
        <f>COUNTIFS('Local HTA submissions'!$E:$E,'By therapy area'!$A23,'Local HTA submissions'!$H:$H,'By therapy area'!H$73)</f>
        <v>0</v>
      </c>
      <c r="I92" s="21">
        <f>COUNTIFS('Local HTA submissions'!$E:$E,'By therapy area'!$A23,'Local HTA submissions'!$H:$H,'By therapy area'!I$73)</f>
        <v>1</v>
      </c>
      <c r="J92" s="21">
        <f>COUNTIFS('Local HTA submissions'!$E:$E,'By therapy area'!$A23,'Local HTA submissions'!$H:$H,'By therapy area'!J$73)</f>
        <v>1</v>
      </c>
      <c r="K92" s="21">
        <f>COUNTIFS('Local HTA submissions'!$E:$E,'By therapy area'!$A23,'Local HTA submissions'!$H:$H,'By therapy area'!K$73)</f>
        <v>1</v>
      </c>
      <c r="L92" s="21">
        <f t="shared" si="6"/>
        <v>3</v>
      </c>
      <c r="M92" s="54">
        <f t="shared" si="7"/>
        <v>9.5541401273885346E-3</v>
      </c>
    </row>
    <row r="93" spans="1:13">
      <c r="A93" s="73" t="str">
        <f>'Local HTA submissions'!AD21</f>
        <v>Rheumatology</v>
      </c>
      <c r="B93" s="21">
        <f>COUNTIFS('Local HTA submissions'!$E:$E,'By therapy area'!$A24,'Local HTA submissions'!$H:$H,'By therapy area'!B$73)</f>
        <v>0</v>
      </c>
      <c r="C93" s="21">
        <f>COUNTIFS('Local HTA submissions'!$E:$E,'By therapy area'!$A24,'Local HTA submissions'!$H:$H,'By therapy area'!C$73)</f>
        <v>0</v>
      </c>
      <c r="D93" s="21">
        <f>COUNTIFS('Local HTA submissions'!$E:$E,'By therapy area'!$A24,'Local HTA submissions'!$H:$H,'By therapy area'!D$73)</f>
        <v>0</v>
      </c>
      <c r="E93" s="21">
        <f>COUNTIFS('Local HTA submissions'!$E:$E,'By therapy area'!$A24,'Local HTA submissions'!$H:$H,'By therapy area'!E$73)</f>
        <v>0</v>
      </c>
      <c r="F93" s="21">
        <f>COUNTIFS('Local HTA submissions'!$E:$E,'By therapy area'!$A24,'Local HTA submissions'!$H:$H,'By therapy area'!F$73)</f>
        <v>0</v>
      </c>
      <c r="G93" s="21">
        <f>COUNTIFS('Local HTA submissions'!$E:$E,'By therapy area'!$A24,'Local HTA submissions'!$H:$H,'By therapy area'!G$73)</f>
        <v>0</v>
      </c>
      <c r="H93" s="21">
        <f>COUNTIFS('Local HTA submissions'!$E:$E,'By therapy area'!$A24,'Local HTA submissions'!$H:$H,'By therapy area'!H$73)</f>
        <v>0</v>
      </c>
      <c r="I93" s="21">
        <f>COUNTIFS('Local HTA submissions'!$E:$E,'By therapy area'!$A24,'Local HTA submissions'!$H:$H,'By therapy area'!I$73)</f>
        <v>1</v>
      </c>
      <c r="J93" s="21">
        <f>COUNTIFS('Local HTA submissions'!$E:$E,'By therapy area'!$A24,'Local HTA submissions'!$H:$H,'By therapy area'!J$73)</f>
        <v>0</v>
      </c>
      <c r="K93" s="21">
        <f>COUNTIFS('Local HTA submissions'!$E:$E,'By therapy area'!$A24,'Local HTA submissions'!$H:$H,'By therapy area'!K$73)</f>
        <v>0</v>
      </c>
      <c r="L93" s="21">
        <f t="shared" si="6"/>
        <v>1</v>
      </c>
      <c r="M93" s="54">
        <f t="shared" si="7"/>
        <v>3.1847133757961785E-3</v>
      </c>
    </row>
    <row r="94" spans="1:13">
      <c r="A94" s="73" t="str">
        <f>'Local HTA submissions'!AD22</f>
        <v>Cardiology</v>
      </c>
      <c r="B94" s="21">
        <f>COUNTIFS('Local HTA submissions'!$E:$E,'By therapy area'!$A25,'Local HTA submissions'!$H:$H,'By therapy area'!B$73)</f>
        <v>0</v>
      </c>
      <c r="C94" s="21">
        <f>COUNTIFS('Local HTA submissions'!$E:$E,'By therapy area'!$A25,'Local HTA submissions'!$H:$H,'By therapy area'!C$73)</f>
        <v>0</v>
      </c>
      <c r="D94" s="21">
        <f>COUNTIFS('Local HTA submissions'!$E:$E,'By therapy area'!$A25,'Local HTA submissions'!$H:$H,'By therapy area'!D$73)</f>
        <v>0</v>
      </c>
      <c r="E94" s="21">
        <f>COUNTIFS('Local HTA submissions'!$E:$E,'By therapy area'!$A25,'Local HTA submissions'!$H:$H,'By therapy area'!E$73)</f>
        <v>0</v>
      </c>
      <c r="F94" s="21">
        <f>COUNTIFS('Local HTA submissions'!$E:$E,'By therapy area'!$A25,'Local HTA submissions'!$H:$H,'By therapy area'!F$73)</f>
        <v>0</v>
      </c>
      <c r="G94" s="21">
        <f>COUNTIFS('Local HTA submissions'!$E:$E,'By therapy area'!$A25,'Local HTA submissions'!$H:$H,'By therapy area'!G$73)</f>
        <v>0</v>
      </c>
      <c r="H94" s="21">
        <f>COUNTIFS('Local HTA submissions'!$E:$E,'By therapy area'!$A25,'Local HTA submissions'!$H:$H,'By therapy area'!H$73)</f>
        <v>0</v>
      </c>
      <c r="I94" s="21">
        <f>COUNTIFS('Local HTA submissions'!$E:$E,'By therapy area'!$A25,'Local HTA submissions'!$H:$H,'By therapy area'!I$73)</f>
        <v>1</v>
      </c>
      <c r="J94" s="21">
        <f>COUNTIFS('Local HTA submissions'!$E:$E,'By therapy area'!$A25,'Local HTA submissions'!$H:$H,'By therapy area'!J$73)</f>
        <v>2</v>
      </c>
      <c r="K94" s="21">
        <f>COUNTIFS('Local HTA submissions'!$E:$E,'By therapy area'!$A25,'Local HTA submissions'!$H:$H,'By therapy area'!K$73)</f>
        <v>0</v>
      </c>
      <c r="L94" s="21">
        <f t="shared" si="6"/>
        <v>3</v>
      </c>
      <c r="M94" s="54">
        <f t="shared" si="7"/>
        <v>9.5541401273885346E-3</v>
      </c>
    </row>
    <row r="95" spans="1:13">
      <c r="A95" s="73" t="str">
        <f>'Local HTA submissions'!AD23</f>
        <v>Rare disease/ Ophthalmology</v>
      </c>
      <c r="B95" s="21">
        <f>COUNTIFS('Local HTA submissions'!$E:$E,'By therapy area'!$A26,'Local HTA submissions'!$H:$H,'By therapy area'!B$73)</f>
        <v>0</v>
      </c>
      <c r="C95" s="21">
        <f>COUNTIFS('Local HTA submissions'!$E:$E,'By therapy area'!$A26,'Local HTA submissions'!$H:$H,'By therapy area'!C$73)</f>
        <v>0</v>
      </c>
      <c r="D95" s="21">
        <f>COUNTIFS('Local HTA submissions'!$E:$E,'By therapy area'!$A26,'Local HTA submissions'!$H:$H,'By therapy area'!D$73)</f>
        <v>0</v>
      </c>
      <c r="E95" s="21">
        <f>COUNTIFS('Local HTA submissions'!$E:$E,'By therapy area'!$A26,'Local HTA submissions'!$H:$H,'By therapy area'!E$73)</f>
        <v>0</v>
      </c>
      <c r="F95" s="21">
        <f>COUNTIFS('Local HTA submissions'!$E:$E,'By therapy area'!$A26,'Local HTA submissions'!$H:$H,'By therapy area'!F$73)</f>
        <v>0</v>
      </c>
      <c r="G95" s="21">
        <f>COUNTIFS('Local HTA submissions'!$E:$E,'By therapy area'!$A26,'Local HTA submissions'!$H:$H,'By therapy area'!G$73)</f>
        <v>0</v>
      </c>
      <c r="H95" s="21">
        <f>COUNTIFS('Local HTA submissions'!$E:$E,'By therapy area'!$A26,'Local HTA submissions'!$H:$H,'By therapy area'!H$73)</f>
        <v>0</v>
      </c>
      <c r="I95" s="21">
        <f>COUNTIFS('Local HTA submissions'!$E:$E,'By therapy area'!$A26,'Local HTA submissions'!$H:$H,'By therapy area'!I$73)</f>
        <v>1</v>
      </c>
      <c r="J95" s="21">
        <f>COUNTIFS('Local HTA submissions'!$E:$E,'By therapy area'!$A26,'Local HTA submissions'!$H:$H,'By therapy area'!J$73)</f>
        <v>0</v>
      </c>
      <c r="K95" s="21">
        <f>COUNTIFS('Local HTA submissions'!$E:$E,'By therapy area'!$A26,'Local HTA submissions'!$H:$H,'By therapy area'!K$73)</f>
        <v>0</v>
      </c>
      <c r="L95" s="21">
        <f t="shared" si="6"/>
        <v>1</v>
      </c>
      <c r="M95" s="54">
        <f t="shared" si="7"/>
        <v>3.1847133757961785E-3</v>
      </c>
    </row>
    <row r="96" spans="1:13">
      <c r="A96" s="73" t="str">
        <f>'Local HTA submissions'!AD24</f>
        <v>Rare disease/ Rheumatology</v>
      </c>
      <c r="B96" s="21">
        <f>COUNTIFS('Local HTA submissions'!$E:$E,'By therapy area'!$A27,'Local HTA submissions'!$H:$H,'By therapy area'!B$73)</f>
        <v>0</v>
      </c>
      <c r="C96" s="21">
        <f>COUNTIFS('Local HTA submissions'!$E:$E,'By therapy area'!$A27,'Local HTA submissions'!$H:$H,'By therapy area'!C$73)</f>
        <v>0</v>
      </c>
      <c r="D96" s="21">
        <f>COUNTIFS('Local HTA submissions'!$E:$E,'By therapy area'!$A27,'Local HTA submissions'!$H:$H,'By therapy area'!D$73)</f>
        <v>0</v>
      </c>
      <c r="E96" s="21">
        <f>COUNTIFS('Local HTA submissions'!$E:$E,'By therapy area'!$A27,'Local HTA submissions'!$H:$H,'By therapy area'!E$73)</f>
        <v>0</v>
      </c>
      <c r="F96" s="21">
        <f>COUNTIFS('Local HTA submissions'!$E:$E,'By therapy area'!$A27,'Local HTA submissions'!$H:$H,'By therapy area'!F$73)</f>
        <v>0</v>
      </c>
      <c r="G96" s="21">
        <f>COUNTIFS('Local HTA submissions'!$E:$E,'By therapy area'!$A27,'Local HTA submissions'!$H:$H,'By therapy area'!G$73)</f>
        <v>0</v>
      </c>
      <c r="H96" s="21">
        <f>COUNTIFS('Local HTA submissions'!$E:$E,'By therapy area'!$A27,'Local HTA submissions'!$H:$H,'By therapy area'!H$73)</f>
        <v>0</v>
      </c>
      <c r="I96" s="21">
        <f>COUNTIFS('Local HTA submissions'!$E:$E,'By therapy area'!$A27,'Local HTA submissions'!$H:$H,'By therapy area'!I$73)</f>
        <v>0</v>
      </c>
      <c r="J96" s="21">
        <f>COUNTIFS('Local HTA submissions'!$E:$E,'By therapy area'!$A27,'Local HTA submissions'!$H:$H,'By therapy area'!J$73)</f>
        <v>1</v>
      </c>
      <c r="K96" s="21">
        <f>COUNTIFS('Local HTA submissions'!$E:$E,'By therapy area'!$A27,'Local HTA submissions'!$H:$H,'By therapy area'!K$73)</f>
        <v>0</v>
      </c>
      <c r="L96" s="21">
        <f t="shared" si="6"/>
        <v>1</v>
      </c>
      <c r="M96" s="54">
        <f t="shared" si="7"/>
        <v>3.1847133757961785E-3</v>
      </c>
    </row>
    <row r="97" spans="1:13">
      <c r="A97" s="73" t="str">
        <f>'Local HTA submissions'!AD25</f>
        <v>Dermatology/ Rheumatology</v>
      </c>
      <c r="B97" s="21">
        <f>COUNTIFS('Local HTA submissions'!$E:$E,'By therapy area'!$A28,'Local HTA submissions'!$H:$H,'By therapy area'!B$73)</f>
        <v>0</v>
      </c>
      <c r="C97" s="21">
        <f>COUNTIFS('Local HTA submissions'!$E:$E,'By therapy area'!$A28,'Local HTA submissions'!$H:$H,'By therapy area'!C$73)</f>
        <v>0</v>
      </c>
      <c r="D97" s="21">
        <f>COUNTIFS('Local HTA submissions'!$E:$E,'By therapy area'!$A28,'Local HTA submissions'!$H:$H,'By therapy area'!D$73)</f>
        <v>0</v>
      </c>
      <c r="E97" s="21">
        <f>COUNTIFS('Local HTA submissions'!$E:$E,'By therapy area'!$A28,'Local HTA submissions'!$H:$H,'By therapy area'!E$73)</f>
        <v>0</v>
      </c>
      <c r="F97" s="21">
        <f>COUNTIFS('Local HTA submissions'!$E:$E,'By therapy area'!$A28,'Local HTA submissions'!$H:$H,'By therapy area'!F$73)</f>
        <v>0</v>
      </c>
      <c r="G97" s="21">
        <f>COUNTIFS('Local HTA submissions'!$E:$E,'By therapy area'!$A28,'Local HTA submissions'!$H:$H,'By therapy area'!G$73)</f>
        <v>0</v>
      </c>
      <c r="H97" s="21">
        <f>COUNTIFS('Local HTA submissions'!$E:$E,'By therapy area'!$A28,'Local HTA submissions'!$H:$H,'By therapy area'!H$73)</f>
        <v>0</v>
      </c>
      <c r="I97" s="21">
        <f>COUNTIFS('Local HTA submissions'!$E:$E,'By therapy area'!$A28,'Local HTA submissions'!$H:$H,'By therapy area'!I$73)</f>
        <v>0</v>
      </c>
      <c r="J97" s="21">
        <f>COUNTIFS('Local HTA submissions'!$E:$E,'By therapy area'!$A28,'Local HTA submissions'!$H:$H,'By therapy area'!J$73)</f>
        <v>0</v>
      </c>
      <c r="K97" s="21">
        <f>COUNTIFS('Local HTA submissions'!$E:$E,'By therapy area'!$A28,'Local HTA submissions'!$H:$H,'By therapy area'!K$73)</f>
        <v>1</v>
      </c>
      <c r="L97" s="21">
        <f t="shared" si="6"/>
        <v>1</v>
      </c>
      <c r="M97" s="54">
        <f t="shared" si="7"/>
        <v>3.1847133757961785E-3</v>
      </c>
    </row>
    <row r="98" spans="1:13">
      <c r="A98" s="73" t="str">
        <f>'Local HTA submissions'!AD26</f>
        <v>Hematology</v>
      </c>
      <c r="B98" s="21">
        <f>COUNTIFS('Local HTA submissions'!$E:$E,'By therapy area'!$A29,'Local HTA submissions'!$H:$H,'By therapy area'!B$73)</f>
        <v>0</v>
      </c>
      <c r="C98" s="21">
        <f>COUNTIFS('Local HTA submissions'!$E:$E,'By therapy area'!$A29,'Local HTA submissions'!$H:$H,'By therapy area'!C$73)</f>
        <v>0</v>
      </c>
      <c r="D98" s="21">
        <f>COUNTIFS('Local HTA submissions'!$E:$E,'By therapy area'!$A29,'Local HTA submissions'!$H:$H,'By therapy area'!D$73)</f>
        <v>0</v>
      </c>
      <c r="E98" s="21">
        <f>COUNTIFS('Local HTA submissions'!$E:$E,'By therapy area'!$A29,'Local HTA submissions'!$H:$H,'By therapy area'!E$73)</f>
        <v>0</v>
      </c>
      <c r="F98" s="21">
        <f>COUNTIFS('Local HTA submissions'!$E:$E,'By therapy area'!$A29,'Local HTA submissions'!$H:$H,'By therapy area'!F$73)</f>
        <v>0</v>
      </c>
      <c r="G98" s="21">
        <f>COUNTIFS('Local HTA submissions'!$E:$E,'By therapy area'!$A29,'Local HTA submissions'!$H:$H,'By therapy area'!G$73)</f>
        <v>0</v>
      </c>
      <c r="H98" s="21">
        <f>COUNTIFS('Local HTA submissions'!$E:$E,'By therapy area'!$A29,'Local HTA submissions'!$H:$H,'By therapy area'!H$73)</f>
        <v>0</v>
      </c>
      <c r="I98" s="21">
        <f>COUNTIFS('Local HTA submissions'!$E:$E,'By therapy area'!$A29,'Local HTA submissions'!$H:$H,'By therapy area'!I$73)</f>
        <v>0</v>
      </c>
      <c r="J98" s="21">
        <f>COUNTIFS('Local HTA submissions'!$E:$E,'By therapy area'!$A29,'Local HTA submissions'!$H:$H,'By therapy area'!J$73)</f>
        <v>1</v>
      </c>
      <c r="K98" s="21">
        <f>COUNTIFS('Local HTA submissions'!$E:$E,'By therapy area'!$A29,'Local HTA submissions'!$H:$H,'By therapy area'!K$73)</f>
        <v>1</v>
      </c>
      <c r="L98" s="21">
        <f t="shared" si="6"/>
        <v>2</v>
      </c>
      <c r="M98" s="54">
        <f t="shared" si="7"/>
        <v>6.369426751592357E-3</v>
      </c>
    </row>
    <row r="99" spans="1:13">
      <c r="A99" s="73" t="str">
        <f>'Local HTA submissions'!AD27</f>
        <v>Medical device</v>
      </c>
      <c r="B99" s="21">
        <f>COUNTIFS('Local HTA submissions'!$E:$E,'By therapy area'!$A30,'Local HTA submissions'!$H:$H,'By therapy area'!B$73)</f>
        <v>0</v>
      </c>
      <c r="C99" s="21">
        <f>COUNTIFS('Local HTA submissions'!$E:$E,'By therapy area'!$A30,'Local HTA submissions'!$H:$H,'By therapy area'!C$73)</f>
        <v>0</v>
      </c>
      <c r="D99" s="21">
        <f>COUNTIFS('Local HTA submissions'!$E:$E,'By therapy area'!$A30,'Local HTA submissions'!$H:$H,'By therapy area'!D$73)</f>
        <v>0</v>
      </c>
      <c r="E99" s="21">
        <f>COUNTIFS('Local HTA submissions'!$E:$E,'By therapy area'!$A30,'Local HTA submissions'!$H:$H,'By therapy area'!E$73)</f>
        <v>0</v>
      </c>
      <c r="F99" s="21">
        <f>COUNTIFS('Local HTA submissions'!$E:$E,'By therapy area'!$A30,'Local HTA submissions'!$H:$H,'By therapy area'!F$73)</f>
        <v>0</v>
      </c>
      <c r="G99" s="21">
        <f>COUNTIFS('Local HTA submissions'!$E:$E,'By therapy area'!$A30,'Local HTA submissions'!$H:$H,'By therapy area'!G$73)</f>
        <v>0</v>
      </c>
      <c r="H99" s="21">
        <f>COUNTIFS('Local HTA submissions'!$E:$E,'By therapy area'!$A30,'Local HTA submissions'!$H:$H,'By therapy area'!H$73)</f>
        <v>0</v>
      </c>
      <c r="I99" s="21">
        <f>COUNTIFS('Local HTA submissions'!$E:$E,'By therapy area'!$A30,'Local HTA submissions'!$H:$H,'By therapy area'!I$73)</f>
        <v>0</v>
      </c>
      <c r="J99" s="21">
        <f>COUNTIFS('Local HTA submissions'!$E:$E,'By therapy area'!$A30,'Local HTA submissions'!$H:$H,'By therapy area'!J$73)</f>
        <v>0</v>
      </c>
      <c r="K99" s="21">
        <f>COUNTIFS('Local HTA submissions'!$E:$E,'By therapy area'!$A30,'Local HTA submissions'!$H:$H,'By therapy area'!K$73)</f>
        <v>1</v>
      </c>
      <c r="L99" s="21">
        <f t="shared" si="6"/>
        <v>1</v>
      </c>
      <c r="M99" s="54">
        <f t="shared" si="7"/>
        <v>3.1847133757961785E-3</v>
      </c>
    </row>
    <row r="100" spans="1:13">
      <c r="A100" s="73" t="str">
        <f>'Local HTA submissions'!AD28</f>
        <v>Surgical operation</v>
      </c>
      <c r="B100" s="21">
        <f>COUNTIFS('Local HTA submissions'!$E:$E,'By therapy area'!$A31,'Local HTA submissions'!$H:$H,'By therapy area'!B$73)</f>
        <v>0</v>
      </c>
      <c r="C100" s="21">
        <f>COUNTIFS('Local HTA submissions'!$E:$E,'By therapy area'!$A31,'Local HTA submissions'!$H:$H,'By therapy area'!C$73)</f>
        <v>0</v>
      </c>
      <c r="D100" s="21">
        <f>COUNTIFS('Local HTA submissions'!$E:$E,'By therapy area'!$A31,'Local HTA submissions'!$H:$H,'By therapy area'!D$73)</f>
        <v>0</v>
      </c>
      <c r="E100" s="21">
        <f>COUNTIFS('Local HTA submissions'!$E:$E,'By therapy area'!$A31,'Local HTA submissions'!$H:$H,'By therapy area'!E$73)</f>
        <v>0</v>
      </c>
      <c r="F100" s="21">
        <f>COUNTIFS('Local HTA submissions'!$E:$E,'By therapy area'!$A31,'Local HTA submissions'!$H:$H,'By therapy area'!F$73)</f>
        <v>0</v>
      </c>
      <c r="G100" s="21">
        <f>COUNTIFS('Local HTA submissions'!$E:$E,'By therapy area'!$A31,'Local HTA submissions'!$H:$H,'By therapy area'!G$73)</f>
        <v>0</v>
      </c>
      <c r="H100" s="21">
        <f>COUNTIFS('Local HTA submissions'!$E:$E,'By therapy area'!$A31,'Local HTA submissions'!$H:$H,'By therapy area'!H$73)</f>
        <v>0</v>
      </c>
      <c r="I100" s="21">
        <f>COUNTIFS('Local HTA submissions'!$E:$E,'By therapy area'!$A31,'Local HTA submissions'!$H:$H,'By therapy area'!I$73)</f>
        <v>0</v>
      </c>
      <c r="J100" s="21">
        <f>COUNTIFS('Local HTA submissions'!$E:$E,'By therapy area'!$A31,'Local HTA submissions'!$H:$H,'By therapy area'!J$73)</f>
        <v>1</v>
      </c>
      <c r="K100" s="21">
        <f>COUNTIFS('Local HTA submissions'!$E:$E,'By therapy area'!$A31,'Local HTA submissions'!$H:$H,'By therapy area'!K$73)</f>
        <v>0</v>
      </c>
      <c r="L100" s="21">
        <f t="shared" si="6"/>
        <v>1</v>
      </c>
      <c r="M100" s="54">
        <f t="shared" si="7"/>
        <v>3.1847133757961785E-3</v>
      </c>
    </row>
    <row r="101" spans="1:13">
      <c r="A101" s="73" t="str">
        <f>'Local HTA submissions'!AD29</f>
        <v>Psychiatry</v>
      </c>
      <c r="B101" s="21">
        <f>COUNTIFS('Local HTA submissions'!$E:$E,'By therapy area'!$A32,'Local HTA submissions'!$H:$H,'By therapy area'!B$73)</f>
        <v>0</v>
      </c>
      <c r="C101" s="21">
        <f>COUNTIFS('Local HTA submissions'!$E:$E,'By therapy area'!$A32,'Local HTA submissions'!$H:$H,'By therapy area'!C$73)</f>
        <v>0</v>
      </c>
      <c r="D101" s="21">
        <f>COUNTIFS('Local HTA submissions'!$E:$E,'By therapy area'!$A32,'Local HTA submissions'!$H:$H,'By therapy area'!D$73)</f>
        <v>0</v>
      </c>
      <c r="E101" s="21">
        <f>COUNTIFS('Local HTA submissions'!$E:$E,'By therapy area'!$A32,'Local HTA submissions'!$H:$H,'By therapy area'!E$73)</f>
        <v>0</v>
      </c>
      <c r="F101" s="21">
        <f>COUNTIFS('Local HTA submissions'!$E:$E,'By therapy area'!$A32,'Local HTA submissions'!$H:$H,'By therapy area'!F$73)</f>
        <v>0</v>
      </c>
      <c r="G101" s="21">
        <f>COUNTIFS('Local HTA submissions'!$E:$E,'By therapy area'!$A32,'Local HTA submissions'!$H:$H,'By therapy area'!G$73)</f>
        <v>0</v>
      </c>
      <c r="H101" s="21">
        <f>COUNTIFS('Local HTA submissions'!$E:$E,'By therapy area'!$A32,'Local HTA submissions'!$H:$H,'By therapy area'!H$73)</f>
        <v>0</v>
      </c>
      <c r="I101" s="21">
        <f>COUNTIFS('Local HTA submissions'!$E:$E,'By therapy area'!$A32,'Local HTA submissions'!$H:$H,'By therapy area'!I$73)</f>
        <v>0</v>
      </c>
      <c r="J101" s="21">
        <f>COUNTIFS('Local HTA submissions'!$E:$E,'By therapy area'!$A32,'Local HTA submissions'!$H:$H,'By therapy area'!J$73)</f>
        <v>1</v>
      </c>
      <c r="K101" s="21">
        <f>COUNTIFS('Local HTA submissions'!$E:$E,'By therapy area'!$A32,'Local HTA submissions'!$H:$H,'By therapy area'!K$73)</f>
        <v>0</v>
      </c>
      <c r="L101" s="21">
        <f t="shared" si="6"/>
        <v>1</v>
      </c>
      <c r="M101" s="54">
        <f t="shared" si="7"/>
        <v>3.1847133757961785E-3</v>
      </c>
    </row>
    <row r="102" spans="1:13">
      <c r="A102" s="73" t="str">
        <f>'Local HTA submissions'!AD30</f>
        <v>Haemato-oncology</v>
      </c>
      <c r="B102" s="21">
        <f>COUNTIFS('Local HTA submissions'!$E:$E,'By therapy area'!$A33,'Local HTA submissions'!$H:$H,'By therapy area'!B$73)</f>
        <v>0</v>
      </c>
      <c r="C102" s="21">
        <f>COUNTIFS('Local HTA submissions'!$E:$E,'By therapy area'!$A33,'Local HTA submissions'!$H:$H,'By therapy area'!C$73)</f>
        <v>0</v>
      </c>
      <c r="D102" s="21">
        <f>COUNTIFS('Local HTA submissions'!$E:$E,'By therapy area'!$A33,'Local HTA submissions'!$H:$H,'By therapy area'!D$73)</f>
        <v>0</v>
      </c>
      <c r="E102" s="21">
        <f>COUNTIFS('Local HTA submissions'!$E:$E,'By therapy area'!$A33,'Local HTA submissions'!$H:$H,'By therapy area'!E$73)</f>
        <v>0</v>
      </c>
      <c r="F102" s="21">
        <f>COUNTIFS('Local HTA submissions'!$E:$E,'By therapy area'!$A33,'Local HTA submissions'!$H:$H,'By therapy area'!F$73)</f>
        <v>0</v>
      </c>
      <c r="G102" s="21">
        <f>COUNTIFS('Local HTA submissions'!$E:$E,'By therapy area'!$A33,'Local HTA submissions'!$H:$H,'By therapy area'!G$73)</f>
        <v>0</v>
      </c>
      <c r="H102" s="21">
        <f>COUNTIFS('Local HTA submissions'!$E:$E,'By therapy area'!$A33,'Local HTA submissions'!$H:$H,'By therapy area'!H$73)</f>
        <v>0</v>
      </c>
      <c r="I102" s="21">
        <f>COUNTIFS('Local HTA submissions'!$E:$E,'By therapy area'!$A33,'Local HTA submissions'!$H:$H,'By therapy area'!I$73)</f>
        <v>0</v>
      </c>
      <c r="J102" s="21">
        <f>COUNTIFS('Local HTA submissions'!$E:$E,'By therapy area'!$A33,'Local HTA submissions'!$H:$H,'By therapy area'!J$73)</f>
        <v>1</v>
      </c>
      <c r="K102" s="21">
        <f>COUNTIFS('Local HTA submissions'!$E:$E,'By therapy area'!$A33,'Local HTA submissions'!$H:$H,'By therapy area'!K$73)</f>
        <v>1</v>
      </c>
      <c r="L102" s="21">
        <f t="shared" si="6"/>
        <v>2</v>
      </c>
      <c r="M102" s="54">
        <f t="shared" si="7"/>
        <v>6.369426751592357E-3</v>
      </c>
    </row>
    <row r="103" spans="1:13" hidden="1">
      <c r="A103" s="73">
        <f>'Local HTA submissions'!AD31</f>
        <v>0</v>
      </c>
      <c r="B103" s="21">
        <f>COUNTIFS('Local HTA submissions'!$E:$E,'By therapy area'!$A34,'Local HTA submissions'!$H:$H,'By therapy area'!B$73)</f>
        <v>0</v>
      </c>
      <c r="C103" s="21">
        <f>COUNTIFS('Local HTA submissions'!$E:$E,'By therapy area'!$A34,'Local HTA submissions'!$H:$H,'By therapy area'!C$73)</f>
        <v>0</v>
      </c>
      <c r="D103" s="21">
        <f>COUNTIFS('Local HTA submissions'!$E:$E,'By therapy area'!$A34,'Local HTA submissions'!$H:$H,'By therapy area'!D$73)</f>
        <v>0</v>
      </c>
      <c r="E103" s="21">
        <f>COUNTIFS('Local HTA submissions'!$E:$E,'By therapy area'!$A34,'Local HTA submissions'!$H:$H,'By therapy area'!E$73)</f>
        <v>0</v>
      </c>
      <c r="F103" s="21">
        <f>COUNTIFS('Local HTA submissions'!$E:$E,'By therapy area'!$A34,'Local HTA submissions'!$H:$H,'By therapy area'!F$73)</f>
        <v>0</v>
      </c>
      <c r="G103" s="21">
        <f>COUNTIFS('Local HTA submissions'!$E:$E,'By therapy area'!$A34,'Local HTA submissions'!$H:$H,'By therapy area'!G$73)</f>
        <v>0</v>
      </c>
      <c r="H103" s="21">
        <f>COUNTIFS('Local HTA submissions'!$E:$E,'By therapy area'!$A34,'Local HTA submissions'!$H:$H,'By therapy area'!H$73)</f>
        <v>0</v>
      </c>
      <c r="I103" s="21">
        <f>COUNTIFS('Local HTA submissions'!$E:$E,'By therapy area'!$A34,'Local HTA submissions'!$H:$H,'By therapy area'!I$73)</f>
        <v>0</v>
      </c>
      <c r="J103" s="21">
        <f>COUNTIFS('Local HTA submissions'!$E:$E,'By therapy area'!$A34,'Local HTA submissions'!$H:$H,'By therapy area'!J$73)</f>
        <v>0</v>
      </c>
      <c r="K103" s="21">
        <f>COUNTIFS('Local HTA submissions'!$E:$E,'By therapy area'!$A34,'Local HTA submissions'!$H:$H,'By therapy area'!K$73)</f>
        <v>0</v>
      </c>
      <c r="L103" s="21">
        <f t="shared" si="6"/>
        <v>0</v>
      </c>
      <c r="M103" s="54">
        <f t="shared" si="7"/>
        <v>0</v>
      </c>
    </row>
    <row r="104" spans="1:13" hidden="1">
      <c r="A104" s="73">
        <f>'Local HTA submissions'!AD32</f>
        <v>0</v>
      </c>
      <c r="B104" s="21">
        <f>COUNTIFS('Local HTA submissions'!$E:$E,'By therapy area'!$A35,'Local HTA submissions'!$H:$H,'By therapy area'!B$73)</f>
        <v>0</v>
      </c>
      <c r="C104" s="21">
        <f>COUNTIFS('Local HTA submissions'!$E:$E,'By therapy area'!$A35,'Local HTA submissions'!$H:$H,'By therapy area'!C$73)</f>
        <v>0</v>
      </c>
      <c r="D104" s="21">
        <f>COUNTIFS('Local HTA submissions'!$E:$E,'By therapy area'!$A35,'Local HTA submissions'!$H:$H,'By therapy area'!D$73)</f>
        <v>0</v>
      </c>
      <c r="E104" s="21">
        <f>COUNTIFS('Local HTA submissions'!$E:$E,'By therapy area'!$A35,'Local HTA submissions'!$H:$H,'By therapy area'!E$73)</f>
        <v>0</v>
      </c>
      <c r="F104" s="21">
        <f>COUNTIFS('Local HTA submissions'!$E:$E,'By therapy area'!$A35,'Local HTA submissions'!$H:$H,'By therapy area'!F$73)</f>
        <v>0</v>
      </c>
      <c r="G104" s="21">
        <f>COUNTIFS('Local HTA submissions'!$E:$E,'By therapy area'!$A35,'Local HTA submissions'!$H:$H,'By therapy area'!G$73)</f>
        <v>0</v>
      </c>
      <c r="H104" s="21">
        <f>COUNTIFS('Local HTA submissions'!$E:$E,'By therapy area'!$A35,'Local HTA submissions'!$H:$H,'By therapy area'!H$73)</f>
        <v>0</v>
      </c>
      <c r="I104" s="21">
        <f>COUNTIFS('Local HTA submissions'!$E:$E,'By therapy area'!$A35,'Local HTA submissions'!$H:$H,'By therapy area'!I$73)</f>
        <v>0</v>
      </c>
      <c r="J104" s="21">
        <f>COUNTIFS('Local HTA submissions'!$E:$E,'By therapy area'!$A35,'Local HTA submissions'!$H:$H,'By therapy area'!J$73)</f>
        <v>0</v>
      </c>
      <c r="K104" s="21">
        <f>COUNTIFS('Local HTA submissions'!$E:$E,'By therapy area'!$A35,'Local HTA submissions'!$H:$H,'By therapy area'!K$73)</f>
        <v>0</v>
      </c>
      <c r="L104" s="21">
        <f t="shared" si="6"/>
        <v>0</v>
      </c>
      <c r="M104" s="54">
        <f t="shared" si="7"/>
        <v>0</v>
      </c>
    </row>
    <row r="105" spans="1:13" hidden="1">
      <c r="A105" s="73">
        <f>'Local HTA submissions'!AD33</f>
        <v>0</v>
      </c>
      <c r="B105" s="21">
        <f>COUNTIFS('Local HTA submissions'!$E:$E,'By therapy area'!$A36,'Local HTA submissions'!$H:$H,'By therapy area'!B$73)</f>
        <v>0</v>
      </c>
      <c r="C105" s="21">
        <f>COUNTIFS('Local HTA submissions'!$E:$E,'By therapy area'!$A36,'Local HTA submissions'!$H:$H,'By therapy area'!C$73)</f>
        <v>0</v>
      </c>
      <c r="D105" s="21">
        <f>COUNTIFS('Local HTA submissions'!$E:$E,'By therapy area'!$A36,'Local HTA submissions'!$H:$H,'By therapy area'!D$73)</f>
        <v>0</v>
      </c>
      <c r="E105" s="21">
        <f>COUNTIFS('Local HTA submissions'!$E:$E,'By therapy area'!$A36,'Local HTA submissions'!$H:$H,'By therapy area'!E$73)</f>
        <v>0</v>
      </c>
      <c r="F105" s="21">
        <f>COUNTIFS('Local HTA submissions'!$E:$E,'By therapy area'!$A36,'Local HTA submissions'!$H:$H,'By therapy area'!F$73)</f>
        <v>0</v>
      </c>
      <c r="G105" s="21">
        <f>COUNTIFS('Local HTA submissions'!$E:$E,'By therapy area'!$A36,'Local HTA submissions'!$H:$H,'By therapy area'!G$73)</f>
        <v>0</v>
      </c>
      <c r="H105" s="21">
        <f>COUNTIFS('Local HTA submissions'!$E:$E,'By therapy area'!$A36,'Local HTA submissions'!$H:$H,'By therapy area'!H$73)</f>
        <v>0</v>
      </c>
      <c r="I105" s="21">
        <f>COUNTIFS('Local HTA submissions'!$E:$E,'By therapy area'!$A36,'Local HTA submissions'!$H:$H,'By therapy area'!I$73)</f>
        <v>0</v>
      </c>
      <c r="J105" s="21">
        <f>COUNTIFS('Local HTA submissions'!$E:$E,'By therapy area'!$A36,'Local HTA submissions'!$H:$H,'By therapy area'!J$73)</f>
        <v>0</v>
      </c>
      <c r="K105" s="21">
        <f>COUNTIFS('Local HTA submissions'!$E:$E,'By therapy area'!$A36,'Local HTA submissions'!$H:$H,'By therapy area'!K$73)</f>
        <v>0</v>
      </c>
      <c r="L105" s="21">
        <f t="shared" si="6"/>
        <v>0</v>
      </c>
      <c r="M105" s="54">
        <f t="shared" si="7"/>
        <v>0</v>
      </c>
    </row>
    <row r="106" spans="1:13" hidden="1">
      <c r="A106" s="73">
        <f>'Local HTA submissions'!AD34</f>
        <v>0</v>
      </c>
      <c r="B106" s="21">
        <f>COUNTIFS('Local HTA submissions'!$E:$E,'By therapy area'!$A37,'Local HTA submissions'!$H:$H,'By therapy area'!B$73)</f>
        <v>0</v>
      </c>
      <c r="C106" s="21">
        <f>COUNTIFS('Local HTA submissions'!$E:$E,'By therapy area'!$A37,'Local HTA submissions'!$H:$H,'By therapy area'!C$73)</f>
        <v>0</v>
      </c>
      <c r="D106" s="21">
        <f>COUNTIFS('Local HTA submissions'!$E:$E,'By therapy area'!$A37,'Local HTA submissions'!$H:$H,'By therapy area'!D$73)</f>
        <v>0</v>
      </c>
      <c r="E106" s="21">
        <f>COUNTIFS('Local HTA submissions'!$E:$E,'By therapy area'!$A37,'Local HTA submissions'!$H:$H,'By therapy area'!E$73)</f>
        <v>0</v>
      </c>
      <c r="F106" s="21">
        <f>COUNTIFS('Local HTA submissions'!$E:$E,'By therapy area'!$A37,'Local HTA submissions'!$H:$H,'By therapy area'!F$73)</f>
        <v>0</v>
      </c>
      <c r="G106" s="21">
        <f>COUNTIFS('Local HTA submissions'!$E:$E,'By therapy area'!$A37,'Local HTA submissions'!$H:$H,'By therapy area'!G$73)</f>
        <v>0</v>
      </c>
      <c r="H106" s="21">
        <f>COUNTIFS('Local HTA submissions'!$E:$E,'By therapy area'!$A37,'Local HTA submissions'!$H:$H,'By therapy area'!H$73)</f>
        <v>0</v>
      </c>
      <c r="I106" s="21">
        <f>COUNTIFS('Local HTA submissions'!$E:$E,'By therapy area'!$A37,'Local HTA submissions'!$H:$H,'By therapy area'!I$73)</f>
        <v>0</v>
      </c>
      <c r="J106" s="21">
        <f>COUNTIFS('Local HTA submissions'!$E:$E,'By therapy area'!$A37,'Local HTA submissions'!$H:$H,'By therapy area'!J$73)</f>
        <v>0</v>
      </c>
      <c r="K106" s="21">
        <f>COUNTIFS('Local HTA submissions'!$E:$E,'By therapy area'!$A37,'Local HTA submissions'!$H:$H,'By therapy area'!K$73)</f>
        <v>0</v>
      </c>
      <c r="L106" s="21">
        <f t="shared" si="6"/>
        <v>0</v>
      </c>
      <c r="M106" s="54">
        <f t="shared" si="7"/>
        <v>0</v>
      </c>
    </row>
    <row r="107" spans="1:13">
      <c r="A107" s="20" t="s">
        <v>697</v>
      </c>
      <c r="B107" s="21">
        <f>SUBTOTAL(109,Table11[2012])</f>
        <v>6</v>
      </c>
      <c r="C107" s="21">
        <f>SUBTOTAL(109,Table11[2013])</f>
        <v>10</v>
      </c>
      <c r="D107" s="21">
        <f>SUBTOTAL(109,Table11[2014])</f>
        <v>5</v>
      </c>
      <c r="E107" s="21">
        <f>SUBTOTAL(109,Table11[2015])</f>
        <v>29</v>
      </c>
      <c r="F107" s="21">
        <f>SUBTOTAL(109,Table11[2016])</f>
        <v>24</v>
      </c>
      <c r="G107" s="21">
        <f>SUBTOTAL(109,Table11[2017])</f>
        <v>25</v>
      </c>
      <c r="H107" s="21">
        <f>SUBTOTAL(109,Table11[2018])</f>
        <v>38</v>
      </c>
      <c r="I107" s="21">
        <f>SUBTOTAL(109,Table11[2019])</f>
        <v>49</v>
      </c>
      <c r="J107" s="21">
        <f>SUBTOTAL(109,Table11[2020])</f>
        <v>73</v>
      </c>
      <c r="K107" s="21">
        <f>SUBTOTAL(109,Table11[2021])</f>
        <v>55</v>
      </c>
      <c r="L107" s="21">
        <f>SUM(B107:K107)</f>
        <v>314</v>
      </c>
      <c r="M107" s="26">
        <f>L107/549</f>
        <v>0.57194899817850642</v>
      </c>
    </row>
    <row r="142" spans="1:13" ht="25.8">
      <c r="A142" s="27" t="s">
        <v>705</v>
      </c>
      <c r="B142" s="27"/>
      <c r="C142" s="27"/>
      <c r="D142" s="27"/>
      <c r="E142" s="27"/>
      <c r="F142" s="27"/>
      <c r="G142" s="27"/>
      <c r="H142" s="27"/>
      <c r="I142" s="27"/>
      <c r="J142" s="27"/>
      <c r="K142" s="27"/>
      <c r="L142" s="27"/>
      <c r="M142" s="27"/>
    </row>
    <row r="143" spans="1:13">
      <c r="A143" s="17" t="s">
        <v>722</v>
      </c>
      <c r="B143" s="18"/>
      <c r="C143" s="18"/>
      <c r="D143" s="18"/>
      <c r="E143" s="18"/>
      <c r="F143" s="18"/>
      <c r="G143" s="18"/>
      <c r="H143" s="18"/>
      <c r="I143" s="18"/>
    </row>
    <row r="144" spans="1:13">
      <c r="A144" s="50" t="s">
        <v>3</v>
      </c>
      <c r="B144" s="51" t="s">
        <v>712</v>
      </c>
      <c r="C144" s="51" t="s">
        <v>713</v>
      </c>
      <c r="D144" s="51" t="s">
        <v>714</v>
      </c>
      <c r="E144" s="51" t="s">
        <v>715</v>
      </c>
      <c r="F144" s="51" t="s">
        <v>716</v>
      </c>
      <c r="G144" s="51" t="s">
        <v>717</v>
      </c>
      <c r="H144" s="52" t="s">
        <v>697</v>
      </c>
      <c r="I144" s="53" t="s">
        <v>700</v>
      </c>
    </row>
    <row r="145" spans="1:9">
      <c r="A145" s="36" t="str">
        <f>'HTA scientific advice'!L2</f>
        <v>Dermatology</v>
      </c>
      <c r="B145" s="21">
        <f>COUNTIFS(Table1[Therapy area],'By therapy area'!$A145,Table1[Year],'By therapy area'!B$144)</f>
        <v>0</v>
      </c>
      <c r="C145" s="21">
        <f>COUNTIFS(Table1[Therapy area],'By therapy area'!$A145,Table1[Year],'By therapy area'!C$144)</f>
        <v>0</v>
      </c>
      <c r="D145" s="21">
        <f>COUNTIFS(Table1[Therapy area],'By therapy area'!$A145,Table1[Year],'By therapy area'!D$144)</f>
        <v>4</v>
      </c>
      <c r="E145" s="21">
        <f>COUNTIFS(Table1[Therapy area],'By therapy area'!$A145,Table1[Year],'By therapy area'!E$144)</f>
        <v>0</v>
      </c>
      <c r="F145" s="21">
        <f>COUNTIFS(Table1[Therapy area],'By therapy area'!$A145,Table1[Year],'By therapy area'!F$144)</f>
        <v>0</v>
      </c>
      <c r="G145" s="21">
        <f>COUNTIFS(Table1[Therapy area],'By therapy area'!$A145,Table1[Year],'By therapy area'!G$144)</f>
        <v>0</v>
      </c>
      <c r="H145" s="21">
        <f t="shared" ref="H145:H150" si="8">SUM(B145:G145)</f>
        <v>4</v>
      </c>
      <c r="I145" s="26">
        <f>H145/$H$154</f>
        <v>0.2857142857142857</v>
      </c>
    </row>
    <row r="146" spans="1:9">
      <c r="A146" s="36" t="str">
        <f>'HTA scientific advice'!L3</f>
        <v>Haemato-oncology</v>
      </c>
      <c r="B146" s="21">
        <f>COUNTIFS(Table1[Therapy area],'By therapy area'!$A146,Table1[Year],'By therapy area'!B$144)</f>
        <v>0</v>
      </c>
      <c r="C146" s="21">
        <f>COUNTIFS(Table1[Therapy area],'By therapy area'!$A146,Table1[Year],'By therapy area'!C$144)</f>
        <v>0</v>
      </c>
      <c r="D146" s="21">
        <f>COUNTIFS(Table1[Therapy area],'By therapy area'!$A146,Table1[Year],'By therapy area'!D$144)</f>
        <v>0</v>
      </c>
      <c r="E146" s="21">
        <f>COUNTIFS(Table1[Therapy area],'By therapy area'!$A146,Table1[Year],'By therapy area'!E$144)</f>
        <v>0</v>
      </c>
      <c r="F146" s="21">
        <f>COUNTIFS(Table1[Therapy area],'By therapy area'!$A146,Table1[Year],'By therapy area'!F$144)</f>
        <v>1</v>
      </c>
      <c r="G146" s="21">
        <f>COUNTIFS(Table1[Therapy area],'By therapy area'!$A146,Table1[Year],'By therapy area'!G$144)</f>
        <v>3</v>
      </c>
      <c r="H146" s="21">
        <f t="shared" si="8"/>
        <v>4</v>
      </c>
      <c r="I146" s="26">
        <f>H146/$H$154</f>
        <v>0.2857142857142857</v>
      </c>
    </row>
    <row r="147" spans="1:9">
      <c r="A147" s="36" t="str">
        <f>'HTA scientific advice'!L4</f>
        <v>Nephrology</v>
      </c>
      <c r="B147" s="21">
        <f>COUNTIFS(Table1[Therapy area],'By therapy area'!$A147,Table1[Year],'By therapy area'!B$144)</f>
        <v>0</v>
      </c>
      <c r="C147" s="21">
        <f>COUNTIFS(Table1[Therapy area],'By therapy area'!$A147,Table1[Year],'By therapy area'!C$144)</f>
        <v>0</v>
      </c>
      <c r="D147" s="21">
        <f>COUNTIFS(Table1[Therapy area],'By therapy area'!$A147,Table1[Year],'By therapy area'!D$144)</f>
        <v>0</v>
      </c>
      <c r="E147" s="21">
        <f>COUNTIFS(Table1[Therapy area],'By therapy area'!$A147,Table1[Year],'By therapy area'!E$144)</f>
        <v>0</v>
      </c>
      <c r="F147" s="21">
        <f>COUNTIFS(Table1[Therapy area],'By therapy area'!$A147,Table1[Year],'By therapy area'!F$144)</f>
        <v>0</v>
      </c>
      <c r="G147" s="21">
        <f>COUNTIFS(Table1[Therapy area],'By therapy area'!$A147,Table1[Year],'By therapy area'!G$144)</f>
        <v>1</v>
      </c>
      <c r="H147" s="21">
        <f t="shared" si="8"/>
        <v>1</v>
      </c>
      <c r="I147" s="26">
        <f>H147/$H$154</f>
        <v>7.1428571428571425E-2</v>
      </c>
    </row>
    <row r="148" spans="1:9">
      <c r="A148" s="36" t="str">
        <f>'HTA scientific advice'!L5</f>
        <v>Oncology</v>
      </c>
      <c r="B148" s="21">
        <f>COUNTIFS(Table1[Therapy area],'By therapy area'!$A148,Table1[Year],'By therapy area'!B$144)</f>
        <v>0</v>
      </c>
      <c r="C148" s="21">
        <f>COUNTIFS(Table1[Therapy area],'By therapy area'!$A148,Table1[Year],'By therapy area'!C$144)</f>
        <v>1</v>
      </c>
      <c r="D148" s="21">
        <f>COUNTIFS(Table1[Therapy area],'By therapy area'!$A148,Table1[Year],'By therapy area'!D$144)</f>
        <v>0</v>
      </c>
      <c r="E148" s="21">
        <f>COUNTIFS(Table1[Therapy area],'By therapy area'!$A148,Table1[Year],'By therapy area'!E$144)</f>
        <v>1</v>
      </c>
      <c r="F148" s="21">
        <f>COUNTIFS(Table1[Therapy area],'By therapy area'!$A148,Table1[Year],'By therapy area'!F$144)</f>
        <v>0</v>
      </c>
      <c r="G148" s="21">
        <f>COUNTIFS(Table1[Therapy area],'By therapy area'!$A148,Table1[Year],'By therapy area'!G$144)</f>
        <v>2</v>
      </c>
      <c r="H148" s="21">
        <f t="shared" si="8"/>
        <v>4</v>
      </c>
      <c r="I148" s="26">
        <f>H148/$H$154</f>
        <v>0.2857142857142857</v>
      </c>
    </row>
    <row r="149" spans="1:9">
      <c r="A149" s="36" t="str">
        <f>'HTA scientific advice'!L6</f>
        <v xml:space="preserve">Various </v>
      </c>
      <c r="B149" s="21">
        <f>COUNTIFS(Table1[Therapy area],'By therapy area'!$A149,Table1[Year],'By therapy area'!B$144)</f>
        <v>1</v>
      </c>
      <c r="C149" s="21">
        <f>COUNTIFS(Table1[Therapy area],'By therapy area'!$A149,Table1[Year],'By therapy area'!C$144)</f>
        <v>0</v>
      </c>
      <c r="D149" s="21">
        <f>COUNTIFS(Table1[Therapy area],'By therapy area'!$A149,Table1[Year],'By therapy area'!D$144)</f>
        <v>0</v>
      </c>
      <c r="E149" s="21">
        <f>COUNTIFS(Table1[Therapy area],'By therapy area'!$A149,Table1[Year],'By therapy area'!E$144)</f>
        <v>0</v>
      </c>
      <c r="F149" s="21">
        <f>COUNTIFS(Table1[Therapy area],'By therapy area'!$A149,Table1[Year],'By therapy area'!F$144)</f>
        <v>0</v>
      </c>
      <c r="G149" s="21">
        <f>COUNTIFS(Table1[Therapy area],'By therapy area'!$A149,Table1[Year],'By therapy area'!G$144)</f>
        <v>0</v>
      </c>
      <c r="H149" s="21">
        <f t="shared" si="8"/>
        <v>1</v>
      </c>
      <c r="I149" s="26">
        <f>H149/$H$154</f>
        <v>7.1428571428571425E-2</v>
      </c>
    </row>
    <row r="150" spans="1:9" hidden="1">
      <c r="A150" s="36">
        <f>'HTA scientific advice'!L7</f>
        <v>0</v>
      </c>
      <c r="B150" s="21">
        <f>COUNTIFS(Table1[Therapy area],'By therapy area'!$A150,Table1[Year],'By therapy area'!B$144)</f>
        <v>0</v>
      </c>
      <c r="C150" s="21">
        <f>COUNTIFS(Table1[Therapy area],'By therapy area'!$A150,Table1[Year],'By therapy area'!C$144)</f>
        <v>0</v>
      </c>
      <c r="D150" s="21">
        <f>COUNTIFS(Table1[Therapy area],'By therapy area'!$A150,Table1[Year],'By therapy area'!D$144)</f>
        <v>0</v>
      </c>
      <c r="E150" s="21">
        <f>COUNTIFS(Table1[Therapy area],'By therapy area'!$A150,Table1[Year],'By therapy area'!E$144)</f>
        <v>0</v>
      </c>
      <c r="F150" s="21">
        <f>COUNTIFS(Table1[Therapy area],'By therapy area'!$A150,Table1[Year],'By therapy area'!F$144)</f>
        <v>0</v>
      </c>
      <c r="G150" s="21">
        <f>COUNTIFS(Table1[Therapy area],'By therapy area'!$A150,Table1[Year],'By therapy area'!G$144)</f>
        <v>0</v>
      </c>
      <c r="H150" s="21">
        <f t="shared" si="8"/>
        <v>0</v>
      </c>
    </row>
    <row r="151" spans="1:9" hidden="1">
      <c r="A151" s="36">
        <f>'HTA scientific advice'!L8</f>
        <v>0</v>
      </c>
      <c r="B151" s="21">
        <f>COUNTIFS(Table1[Therapy area],'By therapy area'!$A151,Table1[Year],'By therapy area'!B$144)</f>
        <v>0</v>
      </c>
      <c r="C151" s="21">
        <f>COUNTIFS(Table1[Therapy area],'By therapy area'!$A151,Table1[Year],'By therapy area'!C$144)</f>
        <v>0</v>
      </c>
      <c r="D151" s="21">
        <f>COUNTIFS(Table1[Therapy area],'By therapy area'!$A151,Table1[Year],'By therapy area'!D$144)</f>
        <v>0</v>
      </c>
      <c r="E151" s="21">
        <f>COUNTIFS(Table1[Therapy area],'By therapy area'!$A151,Table1[Year],'By therapy area'!E$144)</f>
        <v>0</v>
      </c>
      <c r="F151" s="21">
        <f>COUNTIFS(Table1[Therapy area],'By therapy area'!$A151,Table1[Year],'By therapy area'!F$144)</f>
        <v>0</v>
      </c>
      <c r="G151" s="21">
        <f>COUNTIFS(Table1[Therapy area],'By therapy area'!$A151,Table1[Year],'By therapy area'!G$144)</f>
        <v>0</v>
      </c>
      <c r="H151" s="21">
        <f>SUM(B151:G151)</f>
        <v>0</v>
      </c>
      <c r="I151" s="26"/>
    </row>
    <row r="152" spans="1:9" hidden="1">
      <c r="A152" s="36">
        <f>'HTA scientific advice'!L9</f>
        <v>0</v>
      </c>
      <c r="B152" s="21">
        <f>COUNTIFS(Table1[Therapy area],'By therapy area'!$A152,Table1[Year],'By therapy area'!B$144)</f>
        <v>0</v>
      </c>
      <c r="C152" s="21">
        <f>COUNTIFS(Table1[Therapy area],'By therapy area'!$A152,Table1[Year],'By therapy area'!C$144)</f>
        <v>0</v>
      </c>
      <c r="D152" s="21">
        <f>COUNTIFS(Table1[Therapy area],'By therapy area'!$A152,Table1[Year],'By therapy area'!D$144)</f>
        <v>0</v>
      </c>
      <c r="E152" s="21">
        <f>COUNTIFS(Table1[Therapy area],'By therapy area'!$A152,Table1[Year],'By therapy area'!E$144)</f>
        <v>0</v>
      </c>
      <c r="F152" s="21">
        <f>COUNTIFS(Table1[Therapy area],'By therapy area'!$A152,Table1[Year],'By therapy area'!F$144)</f>
        <v>0</v>
      </c>
      <c r="G152" s="21">
        <f>COUNTIFS(Table1[Therapy area],'By therapy area'!$A152,Table1[Year],'By therapy area'!G$144)</f>
        <v>0</v>
      </c>
      <c r="H152" s="21">
        <f>SUM(B152:G152)</f>
        <v>0</v>
      </c>
      <c r="I152" s="26"/>
    </row>
    <row r="153" spans="1:9" hidden="1">
      <c r="A153" s="36">
        <f>'HTA scientific advice'!L10</f>
        <v>0</v>
      </c>
      <c r="B153" s="21">
        <f>COUNTIFS(Table1[Therapy area],'By therapy area'!$A153,Table1[Year],'By therapy area'!B$144)</f>
        <v>0</v>
      </c>
      <c r="C153" s="21">
        <f>COUNTIFS(Table1[Therapy area],'By therapy area'!$A153,Table1[Year],'By therapy area'!C$144)</f>
        <v>0</v>
      </c>
      <c r="D153" s="21">
        <f>COUNTIFS(Table1[Therapy area],'By therapy area'!$A153,Table1[Year],'By therapy area'!D$144)</f>
        <v>0</v>
      </c>
      <c r="E153" s="21">
        <f>COUNTIFS(Table1[Therapy area],'By therapy area'!$A153,Table1[Year],'By therapy area'!E$144)</f>
        <v>0</v>
      </c>
      <c r="F153" s="21">
        <f>COUNTIFS(Table1[Therapy area],'By therapy area'!$A153,Table1[Year],'By therapy area'!F$144)</f>
        <v>0</v>
      </c>
      <c r="G153" s="21">
        <f>COUNTIFS(Table1[Therapy area],'By therapy area'!$A153,Table1[Year],'By therapy area'!G$144)</f>
        <v>0</v>
      </c>
      <c r="H153" s="21">
        <f>SUM(B153:G153)</f>
        <v>0</v>
      </c>
      <c r="I153" s="26"/>
    </row>
    <row r="154" spans="1:9">
      <c r="A154" s="55" t="s">
        <v>697</v>
      </c>
      <c r="B154" s="56">
        <f>SUBTOTAL(109,B145:B153)</f>
        <v>1</v>
      </c>
      <c r="C154" s="56">
        <f t="shared" ref="C154:H154" si="9">SUBTOTAL(109,C145:C153)</f>
        <v>1</v>
      </c>
      <c r="D154" s="56">
        <f t="shared" si="9"/>
        <v>4</v>
      </c>
      <c r="E154" s="56">
        <f t="shared" si="9"/>
        <v>1</v>
      </c>
      <c r="F154" s="56">
        <f t="shared" si="9"/>
        <v>1</v>
      </c>
      <c r="G154" s="56">
        <f t="shared" si="9"/>
        <v>6</v>
      </c>
      <c r="H154" s="56">
        <f t="shared" si="9"/>
        <v>14</v>
      </c>
      <c r="I154" s="26">
        <f>H154/$H$154</f>
        <v>1</v>
      </c>
    </row>
    <row r="189" spans="1:13" ht="25.8">
      <c r="A189" s="27" t="s">
        <v>707</v>
      </c>
      <c r="B189" s="27"/>
      <c r="C189" s="27"/>
      <c r="D189" s="27"/>
      <c r="E189" s="27"/>
      <c r="F189" s="27"/>
      <c r="G189" s="27"/>
      <c r="H189" s="27"/>
      <c r="I189" s="27"/>
      <c r="J189" s="27"/>
      <c r="K189" s="27"/>
      <c r="L189" s="27"/>
      <c r="M189" s="27"/>
    </row>
    <row r="190" spans="1:13">
      <c r="A190" s="17" t="s">
        <v>723</v>
      </c>
      <c r="B190" s="18"/>
      <c r="C190" s="18"/>
      <c r="D190" s="18"/>
      <c r="E190" s="18"/>
      <c r="F190" s="18"/>
      <c r="G190" s="18"/>
      <c r="H190" s="18"/>
      <c r="I190" s="18"/>
      <c r="J190" s="18"/>
    </row>
    <row r="191" spans="1:13">
      <c r="A191" s="41" t="s">
        <v>3</v>
      </c>
      <c r="B191" s="51" t="s">
        <v>711</v>
      </c>
      <c r="C191" s="51" t="s">
        <v>712</v>
      </c>
      <c r="D191" s="51" t="s">
        <v>713</v>
      </c>
      <c r="E191" s="51" t="s">
        <v>714</v>
      </c>
      <c r="F191" s="51" t="s">
        <v>715</v>
      </c>
      <c r="G191" s="51" t="s">
        <v>716</v>
      </c>
      <c r="H191" s="51" t="s">
        <v>717</v>
      </c>
      <c r="I191" s="53" t="s">
        <v>697</v>
      </c>
      <c r="J191" s="53" t="s">
        <v>700</v>
      </c>
    </row>
    <row r="192" spans="1:13">
      <c r="A192" s="36" t="str">
        <f>GVDs!J2</f>
        <v>Haematology</v>
      </c>
      <c r="B192" s="21">
        <f>COUNTIFS(Table2[Therapy area],'By therapy area'!$A192,Table2[Year],'By therapy area'!B$191)</f>
        <v>1</v>
      </c>
      <c r="C192" s="21">
        <f>COUNTIFS(Table2[Therapy area],'By therapy area'!$A192,Table2[Year],'By therapy area'!C$191)</f>
        <v>0</v>
      </c>
      <c r="D192" s="21">
        <f>COUNTIFS(Table2[Therapy area],'By therapy area'!$A192,Table2[Year],'By therapy area'!D$191)</f>
        <v>0</v>
      </c>
      <c r="E192" s="21">
        <f>COUNTIFS(Table2[Therapy area],'By therapy area'!$A192,Table2[Year],'By therapy area'!E$191)</f>
        <v>0</v>
      </c>
      <c r="F192" s="21">
        <f>COUNTIFS(Table2[Therapy area],'By therapy area'!$A192,Table2[Year],'By therapy area'!F$191)</f>
        <v>0</v>
      </c>
      <c r="G192" s="21">
        <f>COUNTIFS(Table2[Therapy area],'By therapy area'!$A192,Table2[Year],'By therapy area'!G$191)</f>
        <v>0</v>
      </c>
      <c r="H192" s="21">
        <f>COUNTIFS(Table2[Therapy area],'By therapy area'!$A192,Table2[Year],'By therapy area'!H$191)</f>
        <v>1</v>
      </c>
      <c r="I192" s="21">
        <f>SUM(B192:H192)</f>
        <v>2</v>
      </c>
      <c r="J192" s="26">
        <f t="shared" ref="J192:J209" si="10">I192/$I$209</f>
        <v>8.3333333333333329E-2</v>
      </c>
    </row>
    <row r="193" spans="1:10">
      <c r="A193" s="36" t="str">
        <f>GVDs!J3</f>
        <v>Haemato-oncology</v>
      </c>
      <c r="B193" s="21">
        <f>COUNTIFS(Table2[Therapy area],'By therapy area'!$A193,Table2[Year],'By therapy area'!B$191)</f>
        <v>1</v>
      </c>
      <c r="C193" s="21">
        <f>COUNTIFS(Table2[Therapy area],'By therapy area'!$A193,Table2[Year],'By therapy area'!C$191)</f>
        <v>0</v>
      </c>
      <c r="D193" s="21">
        <f>COUNTIFS(Table2[Therapy area],'By therapy area'!$A193,Table2[Year],'By therapy area'!D$191)</f>
        <v>0</v>
      </c>
      <c r="E193" s="21">
        <f>COUNTIFS(Table2[Therapy area],'By therapy area'!$A193,Table2[Year],'By therapy area'!E$191)</f>
        <v>0</v>
      </c>
      <c r="F193" s="21">
        <f>COUNTIFS(Table2[Therapy area],'By therapy area'!$A193,Table2[Year],'By therapy area'!F$191)</f>
        <v>0</v>
      </c>
      <c r="G193" s="21">
        <f>COUNTIFS(Table2[Therapy area],'By therapy area'!$A193,Table2[Year],'By therapy area'!G$191)</f>
        <v>2</v>
      </c>
      <c r="H193" s="21">
        <f>COUNTIFS(Table2[Therapy area],'By therapy area'!$A193,Table2[Year],'By therapy area'!H$191)</f>
        <v>0</v>
      </c>
      <c r="I193" s="21">
        <f t="shared" ref="I193:I208" si="11">SUM(B193:H193)</f>
        <v>3</v>
      </c>
      <c r="J193" s="26">
        <f t="shared" si="10"/>
        <v>0.125</v>
      </c>
    </row>
    <row r="194" spans="1:10">
      <c r="A194" s="36" t="str">
        <f>GVDs!J4</f>
        <v>Metabolic/Endocrine Disorders</v>
      </c>
      <c r="B194" s="21">
        <f>COUNTIFS(Table2[Therapy area],'By therapy area'!$A194,Table2[Year],'By therapy area'!B$191)</f>
        <v>1</v>
      </c>
      <c r="C194" s="21">
        <f>COUNTIFS(Table2[Therapy area],'By therapy area'!$A194,Table2[Year],'By therapy area'!C$191)</f>
        <v>1</v>
      </c>
      <c r="D194" s="21">
        <f>COUNTIFS(Table2[Therapy area],'By therapy area'!$A194,Table2[Year],'By therapy area'!D$191)</f>
        <v>0</v>
      </c>
      <c r="E194" s="21">
        <f>COUNTIFS(Table2[Therapy area],'By therapy area'!$A194,Table2[Year],'By therapy area'!E$191)</f>
        <v>1</v>
      </c>
      <c r="F194" s="21">
        <f>COUNTIFS(Table2[Therapy area],'By therapy area'!$A194,Table2[Year],'By therapy area'!F$191)</f>
        <v>0</v>
      </c>
      <c r="G194" s="21">
        <f>COUNTIFS(Table2[Therapy area],'By therapy area'!$A194,Table2[Year],'By therapy area'!G$191)</f>
        <v>0</v>
      </c>
      <c r="H194" s="21">
        <f>COUNTIFS(Table2[Therapy area],'By therapy area'!$A194,Table2[Year],'By therapy area'!H$191)</f>
        <v>0</v>
      </c>
      <c r="I194" s="21">
        <f t="shared" si="11"/>
        <v>3</v>
      </c>
      <c r="J194" s="26">
        <f t="shared" si="10"/>
        <v>0.125</v>
      </c>
    </row>
    <row r="195" spans="1:10">
      <c r="A195" s="36" t="str">
        <f>GVDs!J5</f>
        <v>Cardiorenal/Metabolic</v>
      </c>
      <c r="B195" s="21">
        <f>COUNTIFS(Table2[Therapy area],'By therapy area'!$A195,Table2[Year],'By therapy area'!B$191)</f>
        <v>0</v>
      </c>
      <c r="C195" s="21">
        <f>COUNTIFS(Table2[Therapy area],'By therapy area'!$A195,Table2[Year],'By therapy area'!C$191)</f>
        <v>1</v>
      </c>
      <c r="D195" s="21">
        <f>COUNTIFS(Table2[Therapy area],'By therapy area'!$A195,Table2[Year],'By therapy area'!D$191)</f>
        <v>0</v>
      </c>
      <c r="E195" s="21">
        <f>COUNTIFS(Table2[Therapy area],'By therapy area'!$A195,Table2[Year],'By therapy area'!E$191)</f>
        <v>0</v>
      </c>
      <c r="F195" s="21">
        <f>COUNTIFS(Table2[Therapy area],'By therapy area'!$A195,Table2[Year],'By therapy area'!F$191)</f>
        <v>0</v>
      </c>
      <c r="G195" s="21">
        <f>COUNTIFS(Table2[Therapy area],'By therapy area'!$A195,Table2[Year],'By therapy area'!G$191)</f>
        <v>0</v>
      </c>
      <c r="H195" s="21">
        <f>COUNTIFS(Table2[Therapy area],'By therapy area'!$A195,Table2[Year],'By therapy area'!H$191)</f>
        <v>0</v>
      </c>
      <c r="I195" s="21">
        <f t="shared" si="11"/>
        <v>1</v>
      </c>
      <c r="J195" s="26">
        <f t="shared" si="10"/>
        <v>4.1666666666666664E-2</v>
      </c>
    </row>
    <row r="196" spans="1:10">
      <c r="A196" s="36" t="str">
        <f>GVDs!J6</f>
        <v>Oncology</v>
      </c>
      <c r="B196" s="21">
        <f>COUNTIFS(Table2[Therapy area],'By therapy area'!$A196,Table2[Year],'By therapy area'!B$191)</f>
        <v>0</v>
      </c>
      <c r="C196" s="21">
        <f>COUNTIFS(Table2[Therapy area],'By therapy area'!$A196,Table2[Year],'By therapy area'!C$191)</f>
        <v>0</v>
      </c>
      <c r="D196" s="21">
        <f>COUNTIFS(Table2[Therapy area],'By therapy area'!$A196,Table2[Year],'By therapy area'!D$191)</f>
        <v>2</v>
      </c>
      <c r="E196" s="21">
        <f>COUNTIFS(Table2[Therapy area],'By therapy area'!$A196,Table2[Year],'By therapy area'!E$191)</f>
        <v>2</v>
      </c>
      <c r="F196" s="21">
        <f>COUNTIFS(Table2[Therapy area],'By therapy area'!$A196,Table2[Year],'By therapy area'!F$191)</f>
        <v>1</v>
      </c>
      <c r="G196" s="21">
        <f>COUNTIFS(Table2[Therapy area],'By therapy area'!$A196,Table2[Year],'By therapy area'!G$191)</f>
        <v>1</v>
      </c>
      <c r="H196" s="21">
        <f>COUNTIFS(Table2[Therapy area],'By therapy area'!$A196,Table2[Year],'By therapy area'!H$191)</f>
        <v>1</v>
      </c>
      <c r="I196" s="21">
        <f t="shared" si="11"/>
        <v>7</v>
      </c>
      <c r="J196" s="26">
        <f t="shared" si="10"/>
        <v>0.29166666666666669</v>
      </c>
    </row>
    <row r="197" spans="1:10">
      <c r="A197" s="36" t="str">
        <f>GVDs!J7</f>
        <v>Respiratory</v>
      </c>
      <c r="B197" s="21">
        <f>COUNTIFS(Table2[Therapy area],'By therapy area'!$A197,Table2[Year],'By therapy area'!B$191)</f>
        <v>0</v>
      </c>
      <c r="C197" s="21">
        <f>COUNTIFS(Table2[Therapy area],'By therapy area'!$A197,Table2[Year],'By therapy area'!C$191)</f>
        <v>0</v>
      </c>
      <c r="D197" s="21">
        <f>COUNTIFS(Table2[Therapy area],'By therapy area'!$A197,Table2[Year],'By therapy area'!D$191)</f>
        <v>2</v>
      </c>
      <c r="E197" s="21">
        <f>COUNTIFS(Table2[Therapy area],'By therapy area'!$A197,Table2[Year],'By therapy area'!E$191)</f>
        <v>0</v>
      </c>
      <c r="F197" s="21">
        <f>COUNTIFS(Table2[Therapy area],'By therapy area'!$A197,Table2[Year],'By therapy area'!F$191)</f>
        <v>0</v>
      </c>
      <c r="G197" s="21">
        <f>COUNTIFS(Table2[Therapy area],'By therapy area'!$A197,Table2[Year],'By therapy area'!G$191)</f>
        <v>0</v>
      </c>
      <c r="H197" s="21">
        <f>COUNTIFS(Table2[Therapy area],'By therapy area'!$A197,Table2[Year],'By therapy area'!H$191)</f>
        <v>0</v>
      </c>
      <c r="I197" s="21">
        <f t="shared" si="11"/>
        <v>2</v>
      </c>
      <c r="J197" s="26">
        <f t="shared" si="10"/>
        <v>8.3333333333333329E-2</v>
      </c>
    </row>
    <row r="198" spans="1:10">
      <c r="A198" s="36" t="str">
        <f>GVDs!J8</f>
        <v>Central nervous system</v>
      </c>
      <c r="B198" s="21">
        <f>COUNTIFS(Table2[Therapy area],'By therapy area'!$A198,Table2[Year],'By therapy area'!B$191)</f>
        <v>0</v>
      </c>
      <c r="C198" s="21">
        <f>COUNTIFS(Table2[Therapy area],'By therapy area'!$A198,Table2[Year],'By therapy area'!C$191)</f>
        <v>0</v>
      </c>
      <c r="D198" s="21">
        <f>COUNTIFS(Table2[Therapy area],'By therapy area'!$A198,Table2[Year],'By therapy area'!D$191)</f>
        <v>0</v>
      </c>
      <c r="E198" s="21">
        <f>COUNTIFS(Table2[Therapy area],'By therapy area'!$A198,Table2[Year],'By therapy area'!E$191)</f>
        <v>1</v>
      </c>
      <c r="F198" s="21">
        <f>COUNTIFS(Table2[Therapy area],'By therapy area'!$A198,Table2[Year],'By therapy area'!F$191)</f>
        <v>1</v>
      </c>
      <c r="G198" s="21">
        <f>COUNTIFS(Table2[Therapy area],'By therapy area'!$A198,Table2[Year],'By therapy area'!G$191)</f>
        <v>0</v>
      </c>
      <c r="H198" s="21">
        <f>COUNTIFS(Table2[Therapy area],'By therapy area'!$A198,Table2[Year],'By therapy area'!H$191)</f>
        <v>0</v>
      </c>
      <c r="I198" s="21">
        <f t="shared" si="11"/>
        <v>2</v>
      </c>
      <c r="J198" s="26">
        <f t="shared" si="10"/>
        <v>8.3333333333333329E-2</v>
      </c>
    </row>
    <row r="199" spans="1:10">
      <c r="A199" s="36" t="str">
        <f>GVDs!J9</f>
        <v>Infectious diseases</v>
      </c>
      <c r="B199" s="21">
        <f>COUNTIFS(Table2[Therapy area],'By therapy area'!$A199,Table2[Year],'By therapy area'!B$191)</f>
        <v>0</v>
      </c>
      <c r="C199" s="21">
        <f>COUNTIFS(Table2[Therapy area],'By therapy area'!$A199,Table2[Year],'By therapy area'!C$191)</f>
        <v>0</v>
      </c>
      <c r="D199" s="21">
        <f>COUNTIFS(Table2[Therapy area],'By therapy area'!$A199,Table2[Year],'By therapy area'!D$191)</f>
        <v>0</v>
      </c>
      <c r="E199" s="21">
        <f>COUNTIFS(Table2[Therapy area],'By therapy area'!$A199,Table2[Year],'By therapy area'!E$191)</f>
        <v>1</v>
      </c>
      <c r="F199" s="21">
        <f>COUNTIFS(Table2[Therapy area],'By therapy area'!$A199,Table2[Year],'By therapy area'!F$191)</f>
        <v>1</v>
      </c>
      <c r="G199" s="21">
        <f>COUNTIFS(Table2[Therapy area],'By therapy area'!$A199,Table2[Year],'By therapy area'!G$191)</f>
        <v>0</v>
      </c>
      <c r="H199" s="21">
        <f>COUNTIFS(Table2[Therapy area],'By therapy area'!$A199,Table2[Year],'By therapy area'!H$191)</f>
        <v>1</v>
      </c>
      <c r="I199" s="21">
        <f t="shared" si="11"/>
        <v>3</v>
      </c>
      <c r="J199" s="26">
        <f t="shared" si="10"/>
        <v>0.125</v>
      </c>
    </row>
    <row r="200" spans="1:10">
      <c r="A200" s="36" t="str">
        <f>GVDs!J10</f>
        <v>Mental illness</v>
      </c>
      <c r="B200" s="21">
        <f>COUNTIFS(Table2[Therapy area],'By therapy area'!$A200,Table2[Year],'By therapy area'!B$191)</f>
        <v>0</v>
      </c>
      <c r="C200" s="21">
        <f>COUNTIFS(Table2[Therapy area],'By therapy area'!$A200,Table2[Year],'By therapy area'!C$191)</f>
        <v>0</v>
      </c>
      <c r="D200" s="21">
        <f>COUNTIFS(Table2[Therapy area],'By therapy area'!$A200,Table2[Year],'By therapy area'!D$191)</f>
        <v>0</v>
      </c>
      <c r="E200" s="21">
        <f>COUNTIFS(Table2[Therapy area],'By therapy area'!$A200,Table2[Year],'By therapy area'!E$191)</f>
        <v>1</v>
      </c>
      <c r="F200" s="21">
        <f>COUNTIFS(Table2[Therapy area],'By therapy area'!$A200,Table2[Year],'By therapy area'!F$191)</f>
        <v>0</v>
      </c>
      <c r="G200" s="21">
        <f>COUNTIFS(Table2[Therapy area],'By therapy area'!$A200,Table2[Year],'By therapy area'!G$191)</f>
        <v>0</v>
      </c>
      <c r="H200" s="21">
        <f>COUNTIFS(Table2[Therapy area],'By therapy area'!$A200,Table2[Year],'By therapy area'!H$191)</f>
        <v>0</v>
      </c>
      <c r="I200" s="21">
        <f t="shared" ref="I200:I207" si="12">SUM(B200:H200)</f>
        <v>1</v>
      </c>
      <c r="J200" s="26">
        <f t="shared" si="10"/>
        <v>4.1666666666666664E-2</v>
      </c>
    </row>
    <row r="201" spans="1:10" hidden="1">
      <c r="A201" s="36">
        <f>GVDs!J11</f>
        <v>0</v>
      </c>
      <c r="B201" s="21">
        <f>COUNTIFS(Table2[Therapy area],'By therapy area'!$A201,Table2[Year],'By therapy area'!B$191)</f>
        <v>0</v>
      </c>
      <c r="C201" s="21">
        <f>COUNTIFS(Table2[Therapy area],'By therapy area'!$A201,Table2[Year],'By therapy area'!C$191)</f>
        <v>0</v>
      </c>
      <c r="D201" s="21">
        <f>COUNTIFS(Table2[Therapy area],'By therapy area'!$A201,Table2[Year],'By therapy area'!D$191)</f>
        <v>0</v>
      </c>
      <c r="E201" s="21">
        <f>COUNTIFS(Table2[Therapy area],'By therapy area'!$A201,Table2[Year],'By therapy area'!E$191)</f>
        <v>0</v>
      </c>
      <c r="F201" s="21">
        <f>COUNTIFS(Table2[Therapy area],'By therapy area'!$A201,Table2[Year],'By therapy area'!F$191)</f>
        <v>0</v>
      </c>
      <c r="G201" s="21">
        <f>COUNTIFS(Table2[Therapy area],'By therapy area'!$A201,Table2[Year],'By therapy area'!G$191)</f>
        <v>0</v>
      </c>
      <c r="H201" s="21">
        <f>COUNTIFS(Table2[Therapy area],'By therapy area'!$A201,Table2[Year],'By therapy area'!H$191)</f>
        <v>0</v>
      </c>
      <c r="I201" s="21">
        <f t="shared" si="12"/>
        <v>0</v>
      </c>
      <c r="J201" s="26"/>
    </row>
    <row r="202" spans="1:10" hidden="1">
      <c r="A202" s="36">
        <f>GVDs!J12</f>
        <v>0</v>
      </c>
      <c r="B202" s="21">
        <f>COUNTIFS(Table2[Therapy area],'By therapy area'!$A202,Table2[Year],'By therapy area'!B$191)</f>
        <v>0</v>
      </c>
      <c r="C202" s="21">
        <f>COUNTIFS(Table2[Therapy area],'By therapy area'!$A202,Table2[Year],'By therapy area'!C$191)</f>
        <v>0</v>
      </c>
      <c r="D202" s="21">
        <f>COUNTIFS(Table2[Therapy area],'By therapy area'!$A202,Table2[Year],'By therapy area'!D$191)</f>
        <v>0</v>
      </c>
      <c r="E202" s="21">
        <f>COUNTIFS(Table2[Therapy area],'By therapy area'!$A202,Table2[Year],'By therapy area'!E$191)</f>
        <v>0</v>
      </c>
      <c r="F202" s="21">
        <f>COUNTIFS(Table2[Therapy area],'By therapy area'!$A202,Table2[Year],'By therapy area'!F$191)</f>
        <v>0</v>
      </c>
      <c r="G202" s="21">
        <f>COUNTIFS(Table2[Therapy area],'By therapy area'!$A202,Table2[Year],'By therapy area'!G$191)</f>
        <v>0</v>
      </c>
      <c r="H202" s="21">
        <f>COUNTIFS(Table2[Therapy area],'By therapy area'!$A202,Table2[Year],'By therapy area'!H$191)</f>
        <v>0</v>
      </c>
      <c r="I202" s="21">
        <f t="shared" si="12"/>
        <v>0</v>
      </c>
      <c r="J202" s="26"/>
    </row>
    <row r="203" spans="1:10" hidden="1">
      <c r="A203" s="36">
        <f>GVDs!J13</f>
        <v>0</v>
      </c>
      <c r="B203" s="21">
        <f>COUNTIFS(Table2[Therapy area],'By therapy area'!$A203,Table2[Year],'By therapy area'!B$191)</f>
        <v>0</v>
      </c>
      <c r="C203" s="21">
        <f>COUNTIFS(Table2[Therapy area],'By therapy area'!$A203,Table2[Year],'By therapy area'!C$191)</f>
        <v>0</v>
      </c>
      <c r="D203" s="21">
        <f>COUNTIFS(Table2[Therapy area],'By therapy area'!$A203,Table2[Year],'By therapy area'!D$191)</f>
        <v>0</v>
      </c>
      <c r="E203" s="21">
        <f>COUNTIFS(Table2[Therapy area],'By therapy area'!$A203,Table2[Year],'By therapy area'!E$191)</f>
        <v>0</v>
      </c>
      <c r="F203" s="21">
        <f>COUNTIFS(Table2[Therapy area],'By therapy area'!$A203,Table2[Year],'By therapy area'!F$191)</f>
        <v>0</v>
      </c>
      <c r="G203" s="21">
        <f>COUNTIFS(Table2[Therapy area],'By therapy area'!$A203,Table2[Year],'By therapy area'!G$191)</f>
        <v>0</v>
      </c>
      <c r="H203" s="21">
        <f>COUNTIFS(Table2[Therapy area],'By therapy area'!$A203,Table2[Year],'By therapy area'!H$191)</f>
        <v>0</v>
      </c>
      <c r="I203" s="21">
        <f t="shared" si="12"/>
        <v>0</v>
      </c>
      <c r="J203" s="26"/>
    </row>
    <row r="204" spans="1:10" hidden="1">
      <c r="A204" s="36">
        <f>GVDs!J14</f>
        <v>0</v>
      </c>
      <c r="B204" s="21">
        <f>COUNTIFS(Table2[Therapy area],'By therapy area'!$A204,Table2[Year],'By therapy area'!B$191)</f>
        <v>0</v>
      </c>
      <c r="C204" s="21">
        <f>COUNTIFS(Table2[Therapy area],'By therapy area'!$A204,Table2[Year],'By therapy area'!C$191)</f>
        <v>0</v>
      </c>
      <c r="D204" s="21">
        <f>COUNTIFS(Table2[Therapy area],'By therapy area'!$A204,Table2[Year],'By therapy area'!D$191)</f>
        <v>0</v>
      </c>
      <c r="E204" s="21">
        <f>COUNTIFS(Table2[Therapy area],'By therapy area'!$A204,Table2[Year],'By therapy area'!E$191)</f>
        <v>0</v>
      </c>
      <c r="F204" s="21">
        <f>COUNTIFS(Table2[Therapy area],'By therapy area'!$A204,Table2[Year],'By therapy area'!F$191)</f>
        <v>0</v>
      </c>
      <c r="G204" s="21">
        <f>COUNTIFS(Table2[Therapy area],'By therapy area'!$A204,Table2[Year],'By therapy area'!G$191)</f>
        <v>0</v>
      </c>
      <c r="H204" s="21">
        <f>COUNTIFS(Table2[Therapy area],'By therapy area'!$A204,Table2[Year],'By therapy area'!H$191)</f>
        <v>0</v>
      </c>
      <c r="I204" s="21">
        <f t="shared" si="12"/>
        <v>0</v>
      </c>
      <c r="J204" s="26"/>
    </row>
    <row r="205" spans="1:10" hidden="1">
      <c r="A205" s="36">
        <f>GVDs!J15</f>
        <v>0</v>
      </c>
      <c r="B205" s="21">
        <f>COUNTIFS(Table2[Therapy area],'By therapy area'!$A205,Table2[Year],'By therapy area'!B$191)</f>
        <v>0</v>
      </c>
      <c r="C205" s="21">
        <f>COUNTIFS(Table2[Therapy area],'By therapy area'!$A205,Table2[Year],'By therapy area'!C$191)</f>
        <v>0</v>
      </c>
      <c r="D205" s="21">
        <f>COUNTIFS(Table2[Therapy area],'By therapy area'!$A205,Table2[Year],'By therapy area'!D$191)</f>
        <v>0</v>
      </c>
      <c r="E205" s="21">
        <f>COUNTIFS(Table2[Therapy area],'By therapy area'!$A205,Table2[Year],'By therapy area'!E$191)</f>
        <v>0</v>
      </c>
      <c r="F205" s="21">
        <f>COUNTIFS(Table2[Therapy area],'By therapy area'!$A205,Table2[Year],'By therapy area'!F$191)</f>
        <v>0</v>
      </c>
      <c r="G205" s="21">
        <f>COUNTIFS(Table2[Therapy area],'By therapy area'!$A205,Table2[Year],'By therapy area'!G$191)</f>
        <v>0</v>
      </c>
      <c r="H205" s="21">
        <f>COUNTIFS(Table2[Therapy area],'By therapy area'!$A205,Table2[Year],'By therapy area'!H$191)</f>
        <v>0</v>
      </c>
      <c r="I205" s="21">
        <f t="shared" si="12"/>
        <v>0</v>
      </c>
      <c r="J205" s="26"/>
    </row>
    <row r="206" spans="1:10" hidden="1">
      <c r="A206" s="36">
        <f>GVDs!J16</f>
        <v>0</v>
      </c>
      <c r="B206" s="21">
        <f>COUNTIFS(Table2[Therapy area],'By therapy area'!$A206,Table2[Year],'By therapy area'!B$191)</f>
        <v>0</v>
      </c>
      <c r="C206" s="21">
        <f>COUNTIFS(Table2[Therapy area],'By therapy area'!$A206,Table2[Year],'By therapy area'!C$191)</f>
        <v>0</v>
      </c>
      <c r="D206" s="21">
        <f>COUNTIFS(Table2[Therapy area],'By therapy area'!$A206,Table2[Year],'By therapy area'!D$191)</f>
        <v>0</v>
      </c>
      <c r="E206" s="21">
        <f>COUNTIFS(Table2[Therapy area],'By therapy area'!$A206,Table2[Year],'By therapy area'!E$191)</f>
        <v>0</v>
      </c>
      <c r="F206" s="21">
        <f>COUNTIFS(Table2[Therapy area],'By therapy area'!$A206,Table2[Year],'By therapy area'!F$191)</f>
        <v>0</v>
      </c>
      <c r="G206" s="21">
        <f>COUNTIFS(Table2[Therapy area],'By therapy area'!$A206,Table2[Year],'By therapy area'!G$191)</f>
        <v>0</v>
      </c>
      <c r="H206" s="21">
        <f>COUNTIFS(Table2[Therapy area],'By therapy area'!$A206,Table2[Year],'By therapy area'!H$191)</f>
        <v>0</v>
      </c>
      <c r="I206" s="21">
        <f t="shared" si="12"/>
        <v>0</v>
      </c>
      <c r="J206" s="26"/>
    </row>
    <row r="207" spans="1:10" hidden="1">
      <c r="A207" s="36">
        <f>GVDs!J17</f>
        <v>0</v>
      </c>
      <c r="B207" s="21">
        <f>COUNTIFS(Table2[Therapy area],'By therapy area'!$A207,Table2[Year],'By therapy area'!B$191)</f>
        <v>0</v>
      </c>
      <c r="C207" s="21">
        <f>COUNTIFS(Table2[Therapy area],'By therapy area'!$A207,Table2[Year],'By therapy area'!C$191)</f>
        <v>0</v>
      </c>
      <c r="D207" s="21">
        <f>COUNTIFS(Table2[Therapy area],'By therapy area'!$A207,Table2[Year],'By therapy area'!D$191)</f>
        <v>0</v>
      </c>
      <c r="E207" s="21">
        <f>COUNTIFS(Table2[Therapy area],'By therapy area'!$A207,Table2[Year],'By therapy area'!E$191)</f>
        <v>0</v>
      </c>
      <c r="F207" s="21">
        <f>COUNTIFS(Table2[Therapy area],'By therapy area'!$A207,Table2[Year],'By therapy area'!F$191)</f>
        <v>0</v>
      </c>
      <c r="G207" s="21">
        <f>COUNTIFS(Table2[Therapy area],'By therapy area'!$A207,Table2[Year],'By therapy area'!G$191)</f>
        <v>0</v>
      </c>
      <c r="H207" s="21">
        <f>COUNTIFS(Table2[Therapy area],'By therapy area'!$A207,Table2[Year],'By therapy area'!H$191)</f>
        <v>0</v>
      </c>
      <c r="I207" s="21">
        <f t="shared" si="12"/>
        <v>0</v>
      </c>
      <c r="J207" s="26"/>
    </row>
    <row r="208" spans="1:10" hidden="1">
      <c r="A208" s="36">
        <f>GVDs!J18</f>
        <v>0</v>
      </c>
      <c r="B208" s="21">
        <f>COUNTIFS(Table2[Therapy area],'By therapy area'!$A208,Table2[Year],'By therapy area'!B$191)</f>
        <v>0</v>
      </c>
      <c r="C208" s="21">
        <f>COUNTIFS(Table2[Therapy area],'By therapy area'!$A208,Table2[Year],'By therapy area'!C$191)</f>
        <v>0</v>
      </c>
      <c r="D208" s="21">
        <f>COUNTIFS(Table2[Therapy area],'By therapy area'!$A208,Table2[Year],'By therapy area'!D$191)</f>
        <v>0</v>
      </c>
      <c r="E208" s="21">
        <f>COUNTIFS(Table2[Therapy area],'By therapy area'!$A208,Table2[Year],'By therapy area'!E$191)</f>
        <v>0</v>
      </c>
      <c r="F208" s="21">
        <f>COUNTIFS(Table2[Therapy area],'By therapy area'!$A208,Table2[Year],'By therapy area'!F$191)</f>
        <v>0</v>
      </c>
      <c r="G208" s="21">
        <f>COUNTIFS(Table2[Therapy area],'By therapy area'!$A208,Table2[Year],'By therapy area'!G$191)</f>
        <v>0</v>
      </c>
      <c r="H208" s="21">
        <f>COUNTIFS(Table2[Therapy area],'By therapy area'!$A208,Table2[Year],'By therapy area'!H$191)</f>
        <v>0</v>
      </c>
      <c r="I208" s="21">
        <f t="shared" si="11"/>
        <v>0</v>
      </c>
      <c r="J208" s="26">
        <f t="shared" si="10"/>
        <v>0</v>
      </c>
    </row>
    <row r="209" spans="1:10">
      <c r="A209" s="48" t="s">
        <v>697</v>
      </c>
      <c r="B209" s="21">
        <f>SUM(B192:B208)</f>
        <v>3</v>
      </c>
      <c r="C209" s="21">
        <f t="shared" ref="C209:H209" si="13">SUM(C192:C208)</f>
        <v>2</v>
      </c>
      <c r="D209" s="21">
        <f t="shared" si="13"/>
        <v>4</v>
      </c>
      <c r="E209" s="21">
        <f t="shared" si="13"/>
        <v>6</v>
      </c>
      <c r="F209" s="21">
        <f t="shared" si="13"/>
        <v>3</v>
      </c>
      <c r="G209" s="21">
        <f t="shared" si="13"/>
        <v>3</v>
      </c>
      <c r="H209" s="21">
        <f t="shared" si="13"/>
        <v>3</v>
      </c>
      <c r="I209" s="21">
        <f>SUM(B209:H209)</f>
        <v>24</v>
      </c>
      <c r="J209" s="26">
        <f t="shared" si="10"/>
        <v>1</v>
      </c>
    </row>
  </sheetData>
  <pageMargins left="0.7" right="0.7" top="0.75" bottom="0.75" header="0.3" footer="0.3"/>
  <pageSetup orientation="portrait" r:id="rId1"/>
  <drawing r:id="rId2"/>
  <legacyDrawing r:id="rId3"/>
  <tableParts count="4">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10F5B2DFD4ED4488D28541362604CC2" ma:contentTypeVersion="2" ma:contentTypeDescription="Create a new document." ma:contentTypeScope="" ma:versionID="fdd80adb6bd7e7820a33757b938601b1">
  <xsd:schema xmlns:xsd="http://www.w3.org/2001/XMLSchema" xmlns:xs="http://www.w3.org/2001/XMLSchema" xmlns:p="http://schemas.microsoft.com/office/2006/metadata/properties" xmlns:ns2="7e5db671-f244-46d9-a573-a6bd6a1bbf86" targetNamespace="http://schemas.microsoft.com/office/2006/metadata/properties" ma:root="true" ma:fieldsID="43df3c279ffa2d1c08fc92ecb0be9eb5" ns2:_="">
    <xsd:import namespace="7e5db671-f244-46d9-a573-a6bd6a1bbf86"/>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5db671-f244-46d9-a573-a6bd6a1bbf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E9D3B0-193B-43EE-8840-4AD11EB5D94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0A18054-91C4-46A1-B3F7-7BC9A05512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5db671-f244-46d9-a573-a6bd6a1bbf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972322-E775-45BF-9F2F-33B32AF68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Local HTA submissions</vt:lpstr>
      <vt:lpstr>HTA scientific advice</vt:lpstr>
      <vt:lpstr>GVDs</vt:lpstr>
      <vt:lpstr>Local HTA Pivot Table</vt:lpstr>
      <vt:lpstr>HTA scientific advice Pivot</vt:lpstr>
      <vt:lpstr>GVDs Pivot Table</vt:lpstr>
      <vt:lpstr>By year</vt:lpstr>
      <vt:lpstr>By therapy 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Gaultney, Jennifer</dc:creator>
  <cp:keywords/>
  <dc:description/>
  <cp:lastModifiedBy>Falla, Edel</cp:lastModifiedBy>
  <cp:revision/>
  <dcterms:created xsi:type="dcterms:W3CDTF">2021-05-24T19:57:18Z</dcterms:created>
  <dcterms:modified xsi:type="dcterms:W3CDTF">2021-07-26T10:10:07Z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0x010100910F5B2DFD4ED4488D28541362604CC2</vt:lpwstr>
  </property>
</Properties>
</file>